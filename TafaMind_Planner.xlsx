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Dashboard" sheetId="2" state="visible" r:id="rId4"/>
    <sheet name="Goals (Niyyah)" sheetId="3" state="visible" r:id="rId5"/>
    <sheet name="Actions Tracker" sheetId="4" state="visible" r:id="rId6"/>
    <sheet name="Belief Tracker" sheetId="5" state="visible" r:id="rId7"/>
    <sheet name="Manifest Board" sheetId="6" state="visible" r:id="rId8"/>
    <sheet name="Daily Journal" sheetId="7" state="visible" r:id="rId9"/>
    <sheet name="Lists" sheetId="8" state="visible" r:id="rId10"/>
  </sheets>
  <definedNames>
    <definedName function="false" hidden="false" localSheetId="3" name="_xlnm.Print_Titles" vbProcedure="false">'Actions Tracker'!$1:$5</definedName>
    <definedName function="false" hidden="true" localSheetId="3" name="_xlnm._FilterDatabase" vbProcedure="false">'Actions Tracker'!$A$5:$AL$25</definedName>
    <definedName function="false" hidden="false" localSheetId="4" name="_xlnm.Print_Titles" vbProcedure="false">'Belief Tracker'!$1:$5</definedName>
    <definedName function="false" hidden="true" localSheetId="4" name="_xlnm._FilterDatabase" vbProcedure="false">'Belief Tracker'!$A$5:$E$65</definedName>
    <definedName function="false" hidden="false" localSheetId="6" name="_xlnm.Print_Titles" vbProcedure="false">'Daily Journal'!$1:$5</definedName>
    <definedName function="false" hidden="true" localSheetId="6" name="_xlnm._FilterDatabase" vbProcedure="false">'Daily Journal'!$A$5:$E$65</definedName>
    <definedName function="false" hidden="false" localSheetId="1" name="_xlnm.Print_Titles" vbProcedure="false">Dashboard!$1:$5</definedName>
    <definedName function="false" hidden="false" localSheetId="2" name="_xlnm.Print_Titles" vbProcedure="false">'Goals (Niyyah)'!$1:$5</definedName>
    <definedName function="false" hidden="true" localSheetId="2" name="_xlnm._FilterDatabase" vbProcedure="false">'Goals (Niyyah)'!$A$5:$L$35</definedName>
    <definedName function="false" hidden="false" localSheetId="7" name="_xlnm.Print_Titles" vbProcedure="false">Lists!$1:$5</definedName>
    <definedName function="false" hidden="false" localSheetId="5" name="_xlnm.Print_Titles" vbProcedure="false">'Manifest Board'!$1:$5</definedName>
    <definedName function="false" hidden="true" localSheetId="5" name="_xlnm._FilterDatabase" vbProcedure="false">'Manifest Board'!$A$5:$D$85</definedName>
    <definedName function="false" hidden="false" localSheetId="0" name="_xlnm.Print_Titles" vbProcedure="false">'Start Here'!$1:$5</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H5" authorId="0">
      <text>
        <r>
          <rPr>
            <sz val="10"/>
            <rFont val="Arial"/>
            <family val="2"/>
          </rPr>
          <t xml:space="preserve">Set ONE goal to Yes. If more than one is marked Yes, the Dashboard will use the first one and show a setup warning.</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B4" authorId="0">
      <text>
        <r>
          <rPr>
            <sz val="10"/>
            <rFont val="Arial"/>
            <family val="2"/>
          </rPr>
          <t xml:space="preserve">Enter the first day of the month (for example, 01 Sep 2026).</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Edit the blue cells only. These lists feed the dropdown menus in the workbook.</t>
        </r>
      </text>
    </comment>
  </commentList>
</comments>
</file>

<file path=xl/sharedStrings.xml><?xml version="1.0" encoding="utf-8"?>
<sst xmlns="http://schemas.openxmlformats.org/spreadsheetml/2006/main" count="102" uniqueCount="92">
  <si>
    <t xml:space="preserve">TAFAMIND PLANNER</t>
  </si>
  <si>
    <t xml:space="preserve">Niyyah · Yaqiin · Amal  |  A practical intention, belief, action &amp; reflection system</t>
  </si>
  <si>
    <t xml:space="preserve">WELCOME</t>
  </si>
  <si>
    <t xml:space="preserve">A simple system for turning meaningful intentions into consistent daily practice.</t>
  </si>
  <si>
    <t xml:space="preserve">THE 3-PILLAR METHOD</t>
  </si>
  <si>
    <t xml:space="preserve">NIYYAH — define what you want and why it matters.
YAQIIN — notice and strengthen your belief through daily reflection.
AMAL — turn the goal into repeatable actions and track what you actually do.</t>
  </si>
  <si>
    <t xml:space="preserve">QUICK START</t>
  </si>
  <si>
    <t xml:space="preserve">1. Open Goals (Niyyah) and add your goals. Mark ONE goal as Primary.
2. Open Actions Tracker and set Month starting to the first day of your month. Add up to 20 habits/actions.
3. Each day, enter 1 for done or 0 for missed. Leave future days blank.
4. Use Belief Tracker each day for a 1–10 belief score and one honest note.
5. Use Manifest Board for Ask, Gratitude and Receive entries.
6. Use Daily Journal for reflection, wins, lessons and tomorrow’s focus.
7. Return to Dashboard for your live snapshot.</t>
  </si>
  <si>
    <t xml:space="preserve">INPUT vs. CALCULATED CELLS</t>
  </si>
  <si>
    <t xml:space="preserve">Blue text / pale blue cells = you type here.
Dark text / white cells = calculated or system-managed and are locked to protect formulas.
Sheets are protected (no password) — only the editable cells above can be typed into.</t>
  </si>
  <si>
    <t xml:space="preserve">PRODUCT SETUP NOTES</t>
  </si>
  <si>
    <t xml:space="preserve">This is an undated digital template. Set your month once in Actions Tracker; linked daily sheets update automatically.
Keep a master copy. For resale, distribute a clean duplicate with your own brand, license terms and support details added.</t>
  </si>
  <si>
    <t xml:space="preserve">TAFAMIND DASHBOARD</t>
  </si>
  <si>
    <t xml:space="preserve">Your goals, actions, belief and reflection — summarized in one place.</t>
  </si>
  <si>
    <t xml:space="preserve">PRIMARY GOAL</t>
  </si>
  <si>
    <t xml:space="preserve">SETUP CHECK</t>
  </si>
  <si>
    <t xml:space="preserve">Action completion</t>
  </si>
  <si>
    <t xml:space="preserve">Average belief</t>
  </si>
  <si>
    <t xml:space="preserve">Current streak</t>
  </si>
  <si>
    <t xml:space="preserve">Actions done</t>
  </si>
  <si>
    <t xml:space="preserve">Actions missed</t>
  </si>
  <si>
    <t xml:space="preserve">Journal days</t>
  </si>
  <si>
    <t xml:space="preserve">HABIT SNAPSHOT</t>
  </si>
  <si>
    <t xml:space="preserve">Habit</t>
  </si>
  <si>
    <t xml:space="preserve">Done</t>
  </si>
  <si>
    <t xml:space="preserve">Missed</t>
  </si>
  <si>
    <t xml:space="preserve">Rate</t>
  </si>
  <si>
    <t xml:space="preserve">QUICK NAVIGATION</t>
  </si>
  <si>
    <t xml:space="preserve">Goals — Niyyah</t>
  </si>
  <si>
    <t xml:space="preserve">Actions — Amal</t>
  </si>
  <si>
    <t xml:space="preserve">Belief — Yaqiin</t>
  </si>
  <si>
    <t xml:space="preserve">Manifest Board</t>
  </si>
  <si>
    <t xml:space="preserve">Daily Journal</t>
  </si>
  <si>
    <t xml:space="preserve">Lists / Settings</t>
  </si>
  <si>
    <t xml:space="preserve">GOALS — NIYYAH</t>
  </si>
  <si>
    <t xml:space="preserve">Define the goals that matter. Mark exactly ONE goal as Primary for the Dashboard.</t>
  </si>
  <si>
    <t xml:space="preserve">#</t>
  </si>
  <si>
    <t xml:space="preserve">Goal</t>
  </si>
  <si>
    <t xml:space="preserve">Category</t>
  </si>
  <si>
    <t xml:space="preserve">Why it matters</t>
  </si>
  <si>
    <t xml:space="preserve">Affirmation</t>
  </si>
  <si>
    <t xml:space="preserve">Start Date</t>
  </si>
  <si>
    <t xml:space="preserve">Target Date</t>
  </si>
  <si>
    <t xml:space="preserve">Primary?</t>
  </si>
  <si>
    <t xml:space="preserve">Status</t>
  </si>
  <si>
    <t xml:space="preserve">Linked Actions</t>
  </si>
  <si>
    <t xml:space="preserve">Action Rate %</t>
  </si>
  <si>
    <t xml:space="preserve">Avg Belief</t>
  </si>
  <si>
    <t xml:space="preserve">ACTIONS TRACKER — AMAL</t>
  </si>
  <si>
    <t xml:space="preserve">Track up to 20 repeatable actions. Enter 1 = done, 0 = missed; leave future days blank.</t>
  </si>
  <si>
    <t xml:space="preserve">Month starting:</t>
  </si>
  <si>
    <t xml:space="preserve">Action / Habit</t>
  </si>
  <si>
    <t xml:space="preserve">Type</t>
  </si>
  <si>
    <t xml:space="preserve">Rate %</t>
  </si>
  <si>
    <t xml:space="preserve">TOTAL</t>
  </si>
  <si>
    <t xml:space="preserve">DAY COMPLETION</t>
  </si>
  <si>
    <t xml:space="preserve">STREAK</t>
  </si>
  <si>
    <t xml:space="preserve">BELIEF TRACKER — YAQIIN</t>
  </si>
  <si>
    <t xml:space="preserve">Rate your belief from 1–10 and capture one honest shift each day.</t>
  </si>
  <si>
    <t xml:space="preserve">Date</t>
  </si>
  <si>
    <t xml:space="preserve">Belief (1-10)</t>
  </si>
  <si>
    <t xml:space="preserve">What shifted today</t>
  </si>
  <si>
    <t xml:space="preserve">Actions done that day</t>
  </si>
  <si>
    <t xml:space="preserve">MANIFEST BOARD</t>
  </si>
  <si>
    <t xml:space="preserve">A simple three-part reflection practice: Ask · Gratitude · Receive.</t>
  </si>
  <si>
    <t xml:space="preserve">Entry</t>
  </si>
  <si>
    <t xml:space="preserve">Answered?</t>
  </si>
  <si>
    <t xml:space="preserve">DAILY JOURNAL</t>
  </si>
  <si>
    <t xml:space="preserve">One honest paragraph beats ten perfect ones.</t>
  </si>
  <si>
    <t xml:space="preserve">Reflection</t>
  </si>
  <si>
    <t xml:space="preserve">Win of the day</t>
  </si>
  <si>
    <t xml:space="preserve">Lesson</t>
  </si>
  <si>
    <t xml:space="preserve">Tomorrow's one focus</t>
  </si>
  <si>
    <t xml:space="preserve">LISTS</t>
  </si>
  <si>
    <t xml:space="preserve">Edit these values to customize dropdown menus throughout the planner.</t>
  </si>
  <si>
    <t xml:space="preserve">Action Type</t>
  </si>
  <si>
    <t xml:space="preserve">Manifest Type</t>
  </si>
  <si>
    <t xml:space="preserve">Spirituality</t>
  </si>
  <si>
    <t xml:space="preserve">Not Started</t>
  </si>
  <si>
    <t xml:space="preserve">Daily</t>
  </si>
  <si>
    <t xml:space="preserve">Ask</t>
  </si>
  <si>
    <t xml:space="preserve">Health</t>
  </si>
  <si>
    <t xml:space="preserve">In Progress</t>
  </si>
  <si>
    <t xml:space="preserve">Weekly</t>
  </si>
  <si>
    <t xml:space="preserve">Gratitude</t>
  </si>
  <si>
    <t xml:space="preserve">Wealth</t>
  </si>
  <si>
    <t xml:space="preserve">Achieved</t>
  </si>
  <si>
    <t xml:space="preserve">Monthly</t>
  </si>
  <si>
    <t xml:space="preserve">Receive</t>
  </si>
  <si>
    <t xml:space="preserve">Knowledge</t>
  </si>
  <si>
    <t xml:space="preserve">Paused</t>
  </si>
  <si>
    <t xml:space="preserve">Relationships</t>
  </si>
</sst>
</file>

<file path=xl/styles.xml><?xml version="1.0" encoding="utf-8"?>
<styleSheet xmlns="http://schemas.openxmlformats.org/spreadsheetml/2006/main">
  <numFmts count="11">
    <numFmt numFmtId="164" formatCode="General"/>
    <numFmt numFmtId="165" formatCode="0.0%;\-0.0%;\-"/>
    <numFmt numFmtId="166" formatCode="0.0%"/>
    <numFmt numFmtId="167" formatCode="0"/>
    <numFmt numFmtId="168" formatCode="0;\-0;\-"/>
    <numFmt numFmtId="169" formatCode="dd\ mmm\ yyyy"/>
    <numFmt numFmtId="170" formatCode="0.0"/>
    <numFmt numFmtId="171" formatCode="ddd\&#10;dd"/>
    <numFmt numFmtId="172" formatCode="General"/>
    <numFmt numFmtId="173" formatCode="0%"/>
    <numFmt numFmtId="174" formatCode="ddd&quot;, &quot;dd\ mmm"/>
  </numFmts>
  <fonts count="28">
    <font>
      <sz val="11"/>
      <color theme="1"/>
      <name val="Calibri"/>
      <family val="2"/>
      <charset val="1"/>
    </font>
    <font>
      <sz val="10"/>
      <name val="Arial"/>
      <family val="0"/>
    </font>
    <font>
      <sz val="10"/>
      <name val="Arial"/>
      <family val="0"/>
    </font>
    <font>
      <sz val="10"/>
      <name val="Arial"/>
      <family val="0"/>
    </font>
    <font>
      <b val="true"/>
      <sz val="24"/>
      <color rgb="FFFFFFFF"/>
      <name val="Aptos Display"/>
      <family val="0"/>
      <charset val="1"/>
    </font>
    <font>
      <i val="true"/>
      <sz val="11"/>
      <color rgb="FFFFFFFF"/>
      <name val="Aptos"/>
      <family val="0"/>
      <charset val="1"/>
    </font>
    <font>
      <b val="true"/>
      <sz val="12"/>
      <color rgb="FF182233"/>
      <name val="Aptos"/>
      <family val="0"/>
      <charset val="1"/>
    </font>
    <font>
      <sz val="10"/>
      <color rgb="FF263238"/>
      <name val="Aptos"/>
      <family val="0"/>
      <charset val="1"/>
    </font>
    <font>
      <b val="true"/>
      <sz val="12"/>
      <color rgb="FF0F172A"/>
      <name val="Arial"/>
      <family val="0"/>
      <charset val="1"/>
    </font>
    <font>
      <sz val="11"/>
      <color rgb="FF0F172A"/>
      <name val="Arial"/>
      <family val="0"/>
      <charset val="1"/>
    </font>
    <font>
      <i val="true"/>
      <sz val="11"/>
      <color rgb="FF667085"/>
      <name val="Aptos"/>
      <family val="0"/>
      <charset val="1"/>
    </font>
    <font>
      <b val="true"/>
      <sz val="11"/>
      <color rgb="FFFFFFFF"/>
      <name val="Cambria"/>
      <family val="0"/>
      <charset val="1"/>
    </font>
    <font>
      <b val="true"/>
      <sz val="18"/>
      <color rgb="FF182233"/>
      <name val="Aptos Display"/>
      <family val="0"/>
      <charset val="1"/>
    </font>
    <font>
      <i val="true"/>
      <sz val="11"/>
      <color rgb="FF263238"/>
      <name val="Cambria"/>
      <family val="0"/>
      <charset val="1"/>
    </font>
    <font>
      <sz val="11"/>
      <color rgb="FF667085"/>
      <name val="Cambria"/>
      <family val="0"/>
      <charset val="1"/>
    </font>
    <font>
      <b val="true"/>
      <sz val="11"/>
      <color rgb="FF263238"/>
      <name val="Cambria"/>
      <family val="0"/>
      <charset val="1"/>
    </font>
    <font>
      <b val="true"/>
      <sz val="20"/>
      <color rgb="FF182233"/>
      <name val="Aptos Display"/>
      <family val="0"/>
      <charset val="1"/>
    </font>
    <font>
      <b val="true"/>
      <sz val="18"/>
      <color rgb="FF182233"/>
      <name val="Cambria"/>
      <family val="0"/>
      <charset val="1"/>
    </font>
    <font>
      <b val="true"/>
      <sz val="11"/>
      <color rgb="FF0B5CAD"/>
      <name val="Cambria"/>
      <family val="0"/>
      <charset val="1"/>
    </font>
    <font>
      <b val="true"/>
      <sz val="20"/>
      <color rgb="FFFFFFFF"/>
      <name val="Aptos Display"/>
      <family val="0"/>
      <charset val="1"/>
    </font>
    <font>
      <i val="true"/>
      <sz val="10"/>
      <color rgb="FF667085"/>
      <name val="Aptos"/>
      <family val="0"/>
      <charset val="1"/>
    </font>
    <font>
      <b val="true"/>
      <sz val="10"/>
      <color rgb="FFFFFFFF"/>
      <name val="Aptos"/>
      <family val="0"/>
      <charset val="1"/>
    </font>
    <font>
      <sz val="10"/>
      <color rgb="FF667085"/>
      <name val="Aptos"/>
      <family val="0"/>
      <charset val="1"/>
    </font>
    <font>
      <sz val="10"/>
      <color rgb="FF0B5CAD"/>
      <name val="Aptos"/>
      <family val="0"/>
      <charset val="1"/>
    </font>
    <font>
      <sz val="10"/>
      <name val="Arial"/>
      <family val="2"/>
    </font>
    <font>
      <b val="true"/>
      <sz val="11"/>
      <color rgb="FF263238"/>
      <name val="Aptos"/>
      <family val="0"/>
      <charset val="1"/>
    </font>
    <font>
      <b val="true"/>
      <sz val="11"/>
      <color rgb="FF0B5CAD"/>
      <name val="Aptos"/>
      <family val="0"/>
      <charset val="1"/>
    </font>
    <font>
      <b val="true"/>
      <sz val="11"/>
      <color rgb="FF182233"/>
      <name val="Aptos"/>
      <family val="0"/>
      <charset val="1"/>
    </font>
  </fonts>
  <fills count="9">
    <fill>
      <patternFill patternType="none"/>
    </fill>
    <fill>
      <patternFill patternType="gray125"/>
    </fill>
    <fill>
      <patternFill patternType="solid">
        <fgColor rgb="FF182233"/>
        <bgColor rgb="FF0F172A"/>
      </patternFill>
    </fill>
    <fill>
      <patternFill patternType="solid">
        <fgColor rgb="FF1F7A70"/>
        <bgColor rgb="FF008080"/>
      </patternFill>
    </fill>
    <fill>
      <patternFill patternType="solid">
        <fgColor rgb="FFFFFFFF"/>
        <bgColor rgb="FFF5F5F5"/>
      </patternFill>
    </fill>
    <fill>
      <patternFill patternType="solid">
        <fgColor rgb="FFF7F5EF"/>
        <bgColor rgb="FFF5F5F5"/>
      </patternFill>
    </fill>
    <fill>
      <patternFill patternType="solid">
        <fgColor rgb="FFF3F5F7"/>
        <bgColor rgb="FFF5F5F5"/>
      </patternFill>
    </fill>
    <fill>
      <patternFill patternType="solid">
        <fgColor rgb="FFEEF6FF"/>
        <bgColor rgb="FFF3F5F7"/>
      </patternFill>
    </fill>
    <fill>
      <patternFill patternType="solid">
        <fgColor rgb="FFFFF7E6"/>
        <bgColor rgb="FFF7F5EF"/>
      </patternFill>
    </fill>
  </fills>
  <borders count="4">
    <border diagonalUp="false" diagonalDown="false">
      <left/>
      <right/>
      <top/>
      <bottom/>
      <diagonal/>
    </border>
    <border diagonalUp="false" diagonalDown="false">
      <left/>
      <right/>
      <top/>
      <bottom style="thin">
        <color rgb="FFD9DEE5"/>
      </bottom>
      <diagonal/>
    </border>
    <border diagonalUp="false" diagonalDown="false">
      <left/>
      <right/>
      <top/>
      <bottom style="medium">
        <color rgb="FF182233"/>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6" fillId="5" borderId="0" xfId="0" applyFont="true" applyBorder="true" applyAlignment="true" applyProtection="false">
      <alignment horizontal="general" vertical="center" textRotation="0" wrapText="false" indent="0" shrinkToFit="false"/>
      <protection locked="true" hidden="false"/>
    </xf>
    <xf numFmtId="164" fontId="7" fillId="4"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10" fillId="4"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12" fillId="5" borderId="0" xfId="0" applyFont="true" applyBorder="true" applyAlignment="true" applyProtection="false">
      <alignment horizontal="general" vertical="center" textRotation="0" wrapText="true" indent="0" shrinkToFit="false"/>
      <protection locked="true" hidden="false"/>
    </xf>
    <xf numFmtId="164" fontId="13" fillId="4" borderId="0" xfId="0" applyFont="true" applyBorder="true" applyAlignment="true" applyProtection="false">
      <alignment horizontal="general" vertical="bottom" textRotation="0" wrapText="true" indent="0" shrinkToFit="false"/>
      <protection locked="true" hidden="false"/>
    </xf>
    <xf numFmtId="164" fontId="14" fillId="4" borderId="0" xfId="0" applyFont="true" applyBorder="true" applyAlignment="true" applyProtection="false">
      <alignment horizontal="general" vertical="bottom" textRotation="0" wrapText="true" indent="0"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5" fontId="15" fillId="6" borderId="0" xfId="0" applyFont="true" applyBorder="true" applyAlignment="true" applyProtection="false">
      <alignment horizontal="general" vertical="bottom" textRotation="0" wrapText="true" indent="0" shrinkToFit="false"/>
      <protection locked="true" hidden="false"/>
    </xf>
    <xf numFmtId="164" fontId="11" fillId="3" borderId="0" xfId="0" applyFont="true" applyBorder="true" applyAlignment="true" applyProtection="false">
      <alignment horizontal="left" vertical="center" textRotation="0" wrapText="false" indent="1" shrinkToFit="false"/>
      <protection locked="true" hidden="false"/>
    </xf>
    <xf numFmtId="166" fontId="16" fillId="5" borderId="0" xfId="0" applyFont="true" applyBorder="true" applyAlignment="true" applyProtection="false">
      <alignment horizontal="center" vertical="center" textRotation="0" wrapText="false" indent="0" shrinkToFit="false"/>
      <protection locked="true" hidden="false"/>
    </xf>
    <xf numFmtId="167" fontId="16" fillId="5" borderId="0" xfId="0" applyFont="true" applyBorder="true" applyAlignment="true" applyProtection="false">
      <alignment horizontal="center" vertical="center" textRotation="0" wrapText="false" indent="0" shrinkToFit="false"/>
      <protection locked="true" hidden="false"/>
    </xf>
    <xf numFmtId="167" fontId="17" fillId="6" borderId="0"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8" fontId="9" fillId="4" borderId="1" xfId="0" applyFont="true" applyBorder="true" applyAlignment="true" applyProtection="false">
      <alignment horizontal="center"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9" fillId="2" borderId="0"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true" applyAlignment="true" applyProtection="false">
      <alignment horizontal="general" vertical="center" textRotation="0" wrapText="false" indent="0" shrinkToFit="false"/>
      <protection locked="true" hidden="false"/>
    </xf>
    <xf numFmtId="164" fontId="21" fillId="3" borderId="2"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3" fillId="7" borderId="1" xfId="0" applyFont="true" applyBorder="true" applyAlignment="true" applyProtection="true">
      <alignment horizontal="general" vertical="top" textRotation="0" wrapText="true" indent="0" shrinkToFit="false"/>
      <protection locked="false" hidden="false"/>
    </xf>
    <xf numFmtId="169" fontId="23" fillId="7" borderId="1" xfId="0" applyFont="true" applyBorder="true" applyAlignment="true" applyProtection="true">
      <alignment horizontal="general" vertical="top" textRotation="0" wrapText="true" indent="0" shrinkToFit="false"/>
      <protection locked="false" hidden="false"/>
    </xf>
    <xf numFmtId="168" fontId="7" fillId="4"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70" fontId="7" fillId="4"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9" fontId="26" fillId="8" borderId="0" xfId="0" applyFont="true" applyBorder="false" applyAlignment="true" applyProtection="true">
      <alignment horizontal="general" vertical="top" textRotation="0" wrapText="true" indent="0" shrinkToFit="false"/>
      <protection locked="false" hidden="false"/>
    </xf>
    <xf numFmtId="171" fontId="21" fillId="3" borderId="2" xfId="0" applyFont="true" applyBorder="true" applyAlignment="true" applyProtection="false">
      <alignment horizontal="center" vertical="center" textRotation="0" wrapText="true" indent="0" shrinkToFit="false"/>
      <protection locked="true" hidden="false"/>
    </xf>
    <xf numFmtId="164" fontId="23" fillId="7" borderId="1" xfId="0" applyFont="true" applyBorder="true" applyAlignment="true" applyProtection="true">
      <alignment horizontal="center" vertical="center" textRotation="0" wrapText="false" indent="0" shrinkToFit="false"/>
      <protection locked="false" hidden="false"/>
    </xf>
    <xf numFmtId="164" fontId="27" fillId="5" borderId="0" xfId="0" applyFont="true" applyBorder="false" applyAlignment="true" applyProtection="false">
      <alignment horizontal="general" vertical="bottom" textRotation="0" wrapText="false" indent="0" shrinkToFit="false"/>
      <protection locked="true" hidden="false"/>
    </xf>
    <xf numFmtId="164" fontId="27" fillId="5" borderId="3" xfId="0" applyFont="true" applyBorder="true" applyAlignment="true" applyProtection="false">
      <alignment horizontal="general" vertical="bottom" textRotation="0" wrapText="false" indent="0" shrinkToFit="false"/>
      <protection locked="true" hidden="false"/>
    </xf>
    <xf numFmtId="172" fontId="27" fillId="5" borderId="3" xfId="0" applyFont="true" applyBorder="true" applyAlignment="true" applyProtection="false">
      <alignment horizontal="center" vertical="center" textRotation="0" wrapText="false" indent="0" shrinkToFit="false"/>
      <protection locked="true" hidden="false"/>
    </xf>
    <xf numFmtId="166" fontId="27" fillId="5" borderId="3" xfId="0" applyFont="true" applyBorder="true" applyAlignment="true" applyProtection="false">
      <alignment horizontal="center" vertical="center" textRotation="0" wrapText="false" indent="0" shrinkToFit="false"/>
      <protection locked="true" hidden="false"/>
    </xf>
    <xf numFmtId="173" fontId="7" fillId="4"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74" fontId="7" fillId="4" borderId="1" xfId="0" applyFont="true" applyBorder="true" applyAlignment="true" applyProtection="false">
      <alignment horizontal="center" vertical="center" textRotation="0" wrapText="false" indent="0" shrinkToFit="false"/>
      <protection locked="true" hidden="false"/>
    </xf>
    <xf numFmtId="172" fontId="7" fillId="4" borderId="1" xfId="0" applyFont="true" applyBorder="true" applyAlignment="true" applyProtection="false">
      <alignment horizontal="center" vertical="center" textRotation="0" wrapText="false" indent="0" shrinkToFit="false"/>
      <protection locked="true" hidden="false"/>
    </xf>
    <xf numFmtId="174" fontId="7" fillId="4" borderId="1" xfId="0" applyFont="true" applyBorder="true" applyAlignment="true" applyProtection="false">
      <alignment horizontal="general" vertical="top" textRotation="0" wrapText="true" indent="0" shrinkToFit="false"/>
      <protection locked="true" hidden="false"/>
    </xf>
    <xf numFmtId="164" fontId="23" fillId="7" borderId="3" xfId="0" applyFont="true" applyBorder="true" applyAlignment="true" applyProtection="true">
      <alignment horizontal="general" vertical="top" textRotation="0" wrapText="true" indent="0" shrinkToFit="false"/>
      <protection locked="false" hidden="false"/>
    </xf>
    <xf numFmtId="164" fontId="23" fillId="7" borderId="0" xfId="0" applyFont="true" applyBorder="false" applyAlignment="true" applyProtection="true">
      <alignment horizontal="general" vertical="top" textRotation="0" wrapText="tru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7A70"/>
          <bgColor rgb="FF000000"/>
        </patternFill>
      </fill>
    </dxf>
    <dxf>
      <fill>
        <patternFill patternType="solid">
          <bgColor rgb="FF000000"/>
        </patternFill>
      </fill>
    </dxf>
    <dxf>
      <fill>
        <patternFill patternType="solid">
          <fgColor rgb="FF667085"/>
          <bgColor rgb="FF000000"/>
        </patternFill>
      </fill>
    </dxf>
    <dxf>
      <fill>
        <patternFill patternType="solid">
          <fgColor rgb="FFFFFFFF"/>
          <bgColor rgb="FF000000"/>
        </patternFill>
      </fill>
    </dxf>
    <dxf>
      <fill>
        <patternFill patternType="solid">
          <fgColor rgb="FFEEF6FF"/>
          <bgColor rgb="FF000000"/>
        </patternFill>
      </fill>
    </dxf>
    <dxf>
      <fill>
        <patternFill patternType="solid">
          <fgColor rgb="FF0B5CAD"/>
          <bgColor rgb="FF000000"/>
        </patternFill>
      </fill>
    </dxf>
    <dxf>
      <fill>
        <patternFill patternType="solid">
          <fgColor rgb="FF263238"/>
          <bgColor rgb="FF000000"/>
        </patternFill>
      </fill>
    </dxf>
    <dxf>
      <fill>
        <patternFill>
          <bgColor rgb="FFDCFCE7"/>
        </patternFill>
      </fill>
    </dxf>
    <dxf>
      <fill>
        <patternFill>
          <bgColor rgb="FFE8F5E9"/>
        </patternFill>
      </fill>
    </dxf>
    <dxf>
      <fill>
        <patternFill>
          <bgColor rgb="FFF5F5F5"/>
        </patternFill>
      </fill>
    </dxf>
    <dxf>
      <fill>
        <patternFill patternType="solid">
          <fgColor rgb="FFFDECEC"/>
          <bgColor rgb="FF000000"/>
        </patternFill>
      </fill>
    </dxf>
    <dxf>
      <fill>
        <patternFill>
          <bgColor rgb="FFFDEC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7A70"/>
      <rgbColor rgb="FFD9DEE5"/>
      <rgbColor rgb="FF808080"/>
      <rgbColor rgb="FF9999FF"/>
      <rgbColor rgb="FF993366"/>
      <rgbColor rgb="FFFFF7E6"/>
      <rgbColor rgb="FFDCFCE7"/>
      <rgbColor rgb="FF660066"/>
      <rgbColor rgb="FFFF8080"/>
      <rgbColor rgb="FF0B5CAD"/>
      <rgbColor rgb="FFCBD5E1"/>
      <rgbColor rgb="FF000080"/>
      <rgbColor rgb="FFFF00FF"/>
      <rgbColor rgb="FFFFFF00"/>
      <rgbColor rgb="FF00FFFF"/>
      <rgbColor rgb="FF800080"/>
      <rgbColor rgb="FF800000"/>
      <rgbColor rgb="FF008080"/>
      <rgbColor rgb="FF0000FF"/>
      <rgbColor rgb="FF00CCFF"/>
      <rgbColor rgb="FFE8F5E9"/>
      <rgbColor rgb="FFEEF6FF"/>
      <rgbColor rgb="FFF7F5EF"/>
      <rgbColor rgb="FFF3F5F7"/>
      <rgbColor rgb="FFF5F5F5"/>
      <rgbColor rgb="FFCC99FF"/>
      <rgbColor rgb="FFFDECEC"/>
      <rgbColor rgb="FF3366FF"/>
      <rgbColor rgb="FF33CCCC"/>
      <rgbColor rgb="FF99CC00"/>
      <rgbColor rgb="FFFFCC00"/>
      <rgbColor rgb="FFFF9900"/>
      <rgbColor rgb="FFFF6600"/>
      <rgbColor rgb="FF667085"/>
      <rgbColor rgb="FF969696"/>
      <rgbColor rgb="FF182233"/>
      <rgbColor rgb="FF339966"/>
      <rgbColor rgb="FF0F172A"/>
      <rgbColor rgb="FF333300"/>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TafaMind_Planner_Professional.xlsx" TargetMode="External"/><Relationship Id="rId2" Type="http://schemas.openxmlformats.org/officeDocument/2006/relationships/hyperlink" Target="../TafaMind_Planner_Professional.xlsx" TargetMode="External"/><Relationship Id="rId3" Type="http://schemas.openxmlformats.org/officeDocument/2006/relationships/hyperlink" Target="../TafaMind_Planner_Professional.xlsx" TargetMode="External"/><Relationship Id="rId4" Type="http://schemas.openxmlformats.org/officeDocument/2006/relationships/hyperlink" Target="../TafaMind_Planner_Professional.xlsx" TargetMode="External"/><Relationship Id="rId5" Type="http://schemas.openxmlformats.org/officeDocument/2006/relationships/hyperlink" Target="../TafaMind_Planner_Professional.xlsx" TargetMode="External"/><Relationship Id="rId6" Type="http://schemas.openxmlformats.org/officeDocument/2006/relationships/hyperlink" Target="../TafaMind_Planner_Professional.xlsx" TargetMode="Externa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7" min="2" style="1" width="24"/>
    <col collapsed="false" customWidth="true" hidden="false" outlineLevel="0" max="8" min="8" style="1" width="3"/>
  </cols>
  <sheetData>
    <row r="1" customFormat="false" ht="33.75" hidden="false" customHeight="true" outlineLevel="0" collapsed="false">
      <c r="A1" s="2" t="s">
        <v>0</v>
      </c>
      <c r="B1" s="2"/>
      <c r="C1" s="2"/>
      <c r="D1" s="2"/>
      <c r="E1" s="2"/>
      <c r="F1" s="2"/>
      <c r="G1" s="2"/>
      <c r="H1" s="2"/>
    </row>
    <row r="2" customFormat="false" ht="9.75" hidden="false" customHeight="true" outlineLevel="0" collapsed="false">
      <c r="A2" s="2"/>
      <c r="B2" s="2"/>
      <c r="C2" s="2"/>
      <c r="D2" s="2"/>
      <c r="E2" s="2"/>
      <c r="F2" s="2"/>
      <c r="G2" s="2"/>
      <c r="H2" s="2"/>
    </row>
    <row r="3" customFormat="false" ht="25.5" hidden="false" customHeight="true" outlineLevel="0" collapsed="false">
      <c r="A3" s="3" t="s">
        <v>1</v>
      </c>
      <c r="B3" s="3"/>
      <c r="C3" s="3"/>
      <c r="D3" s="3"/>
      <c r="E3" s="3"/>
      <c r="F3" s="3"/>
      <c r="G3" s="3"/>
      <c r="H3" s="3"/>
    </row>
    <row r="5" customFormat="false" ht="15" hidden="false" customHeight="true" outlineLevel="0" collapsed="false">
      <c r="A5" s="4"/>
      <c r="B5" s="5" t="s">
        <v>2</v>
      </c>
      <c r="C5" s="5"/>
      <c r="D5" s="5"/>
      <c r="E5" s="5"/>
      <c r="F5" s="5"/>
      <c r="G5" s="5"/>
      <c r="H5" s="4"/>
    </row>
    <row r="6" customFormat="false" ht="42" hidden="false" customHeight="true" outlineLevel="0" collapsed="false">
      <c r="A6" s="4"/>
      <c r="B6" s="6" t="s">
        <v>3</v>
      </c>
      <c r="C6" s="6"/>
      <c r="D6" s="6"/>
      <c r="E6" s="6"/>
      <c r="F6" s="6"/>
      <c r="G6" s="6"/>
      <c r="H6" s="4"/>
    </row>
    <row r="7" customFormat="false" ht="27.75" hidden="false" customHeight="true" outlineLevel="0" collapsed="false">
      <c r="A7" s="4"/>
      <c r="B7" s="6"/>
      <c r="C7" s="6"/>
      <c r="D7" s="6"/>
      <c r="E7" s="6"/>
      <c r="F7" s="6"/>
      <c r="G7" s="6"/>
      <c r="H7" s="4"/>
    </row>
    <row r="8" customFormat="false" ht="15" hidden="false" customHeight="true" outlineLevel="0" collapsed="false">
      <c r="A8" s="4"/>
      <c r="B8" s="5" t="s">
        <v>4</v>
      </c>
      <c r="C8" s="5"/>
      <c r="D8" s="5"/>
      <c r="E8" s="5"/>
      <c r="F8" s="5"/>
      <c r="G8" s="5"/>
      <c r="H8" s="4"/>
    </row>
    <row r="9" customFormat="false" ht="42" hidden="false" customHeight="true" outlineLevel="0" collapsed="false">
      <c r="A9" s="4"/>
      <c r="B9" s="6" t="s">
        <v>5</v>
      </c>
      <c r="C9" s="6"/>
      <c r="D9" s="6"/>
      <c r="E9" s="6"/>
      <c r="F9" s="6"/>
      <c r="G9" s="6"/>
      <c r="H9" s="4"/>
    </row>
    <row r="10" customFormat="false" ht="27.75" hidden="false" customHeight="true" outlineLevel="0" collapsed="false">
      <c r="A10" s="4"/>
      <c r="B10" s="6"/>
      <c r="C10" s="6"/>
      <c r="D10" s="6"/>
      <c r="E10" s="6"/>
      <c r="F10" s="6"/>
      <c r="G10" s="6"/>
      <c r="H10" s="4"/>
    </row>
    <row r="11" customFormat="false" ht="15" hidden="false" customHeight="true" outlineLevel="0" collapsed="false">
      <c r="A11" s="4"/>
      <c r="B11" s="7"/>
      <c r="C11" s="4"/>
      <c r="D11" s="4"/>
      <c r="E11" s="4"/>
      <c r="F11" s="4"/>
      <c r="G11" s="4"/>
      <c r="H11" s="4"/>
    </row>
    <row r="12" customFormat="false" ht="15" hidden="false" customHeight="true" outlineLevel="0" collapsed="false">
      <c r="A12" s="4"/>
      <c r="B12" s="8"/>
      <c r="C12" s="4"/>
      <c r="D12" s="4"/>
      <c r="E12" s="4"/>
      <c r="F12" s="4"/>
      <c r="G12" s="4"/>
      <c r="H12" s="4"/>
    </row>
    <row r="13" customFormat="false" ht="15" hidden="false" customHeight="true" outlineLevel="0" collapsed="false">
      <c r="A13" s="4"/>
      <c r="B13" s="5" t="s">
        <v>6</v>
      </c>
      <c r="C13" s="5"/>
      <c r="D13" s="5"/>
      <c r="E13" s="5"/>
      <c r="F13" s="5"/>
      <c r="G13" s="5"/>
      <c r="H13" s="4"/>
    </row>
    <row r="14" customFormat="false" ht="42" hidden="false" customHeight="true" outlineLevel="0" collapsed="false">
      <c r="A14" s="4"/>
      <c r="B14" s="6" t="s">
        <v>7</v>
      </c>
      <c r="C14" s="6"/>
      <c r="D14" s="6"/>
      <c r="E14" s="6"/>
      <c r="F14" s="6"/>
      <c r="G14" s="6"/>
      <c r="H14" s="4"/>
    </row>
    <row r="15" customFormat="false" ht="27.75" hidden="false" customHeight="true" outlineLevel="0" collapsed="false">
      <c r="A15" s="4"/>
      <c r="B15" s="6"/>
      <c r="C15" s="6"/>
      <c r="D15" s="6"/>
      <c r="E15" s="6"/>
      <c r="F15" s="6"/>
      <c r="G15" s="6"/>
      <c r="H15" s="4"/>
    </row>
    <row r="16" customFormat="false" ht="15" hidden="false" customHeight="true" outlineLevel="0" collapsed="false">
      <c r="A16" s="4"/>
      <c r="B16" s="8"/>
      <c r="C16" s="4"/>
      <c r="D16" s="4"/>
      <c r="E16" s="4"/>
      <c r="F16" s="4"/>
      <c r="G16" s="4"/>
      <c r="H16" s="4"/>
    </row>
    <row r="17" customFormat="false" ht="15" hidden="false" customHeight="true" outlineLevel="0" collapsed="false">
      <c r="A17" s="4"/>
      <c r="B17" s="8"/>
      <c r="C17" s="4"/>
      <c r="D17" s="4"/>
      <c r="E17" s="4"/>
      <c r="F17" s="4"/>
      <c r="G17" s="4"/>
      <c r="H17" s="4"/>
    </row>
    <row r="18" customFormat="false" ht="15" hidden="false" customHeight="true" outlineLevel="0" collapsed="false">
      <c r="A18" s="4"/>
      <c r="B18" s="8"/>
      <c r="C18" s="4"/>
      <c r="D18" s="4"/>
      <c r="E18" s="4"/>
      <c r="F18" s="4"/>
      <c r="G18" s="4"/>
      <c r="H18" s="4"/>
    </row>
    <row r="19" customFormat="false" ht="15" hidden="false" customHeight="true" outlineLevel="0" collapsed="false">
      <c r="A19" s="4"/>
      <c r="B19" s="8"/>
      <c r="C19" s="4"/>
      <c r="D19" s="4"/>
      <c r="E19" s="4"/>
      <c r="F19" s="4"/>
      <c r="G19" s="4"/>
      <c r="H19" s="4"/>
    </row>
    <row r="20" customFormat="false" ht="15" hidden="false" customHeight="true" outlineLevel="0" collapsed="false">
      <c r="A20" s="4"/>
      <c r="B20" s="7"/>
      <c r="C20" s="4"/>
      <c r="D20" s="4"/>
      <c r="E20" s="4"/>
      <c r="F20" s="4"/>
      <c r="G20" s="4"/>
      <c r="H20" s="4"/>
    </row>
    <row r="21" customFormat="false" ht="15" hidden="false" customHeight="true" outlineLevel="0" collapsed="false">
      <c r="A21" s="4"/>
      <c r="B21" s="8"/>
      <c r="C21" s="4"/>
      <c r="D21" s="4"/>
      <c r="E21" s="4"/>
      <c r="F21" s="4"/>
      <c r="G21" s="4"/>
      <c r="H21" s="4"/>
    </row>
    <row r="22" customFormat="false" ht="15" hidden="false" customHeight="true" outlineLevel="0" collapsed="false">
      <c r="A22" s="4"/>
      <c r="B22" s="5" t="s">
        <v>8</v>
      </c>
      <c r="C22" s="5"/>
      <c r="D22" s="5"/>
      <c r="E22" s="5"/>
      <c r="F22" s="5"/>
      <c r="G22" s="5"/>
      <c r="H22" s="4"/>
    </row>
    <row r="23" customFormat="false" ht="42" hidden="false" customHeight="true" outlineLevel="0" collapsed="false">
      <c r="A23" s="4"/>
      <c r="B23" s="6" t="s">
        <v>9</v>
      </c>
      <c r="C23" s="6"/>
      <c r="D23" s="6"/>
      <c r="E23" s="6"/>
      <c r="F23" s="6"/>
      <c r="G23" s="6"/>
      <c r="H23" s="4"/>
    </row>
    <row r="24" customFormat="false" ht="27.75" hidden="false" customHeight="true" outlineLevel="0" collapsed="false">
      <c r="A24" s="4"/>
      <c r="B24" s="6"/>
      <c r="C24" s="6"/>
      <c r="D24" s="6"/>
      <c r="E24" s="6"/>
      <c r="F24" s="6"/>
      <c r="G24" s="6"/>
      <c r="H24" s="4"/>
    </row>
    <row r="25" customFormat="false" ht="15" hidden="false" customHeight="true" outlineLevel="0" collapsed="false">
      <c r="A25" s="4"/>
      <c r="B25" s="7"/>
      <c r="C25" s="4"/>
      <c r="D25" s="4"/>
      <c r="E25" s="4"/>
      <c r="F25" s="4"/>
      <c r="G25" s="4"/>
      <c r="H25" s="4"/>
    </row>
    <row r="26" customFormat="false" ht="15" hidden="false" customHeight="true" outlineLevel="0" collapsed="false">
      <c r="A26" s="4"/>
      <c r="B26" s="5" t="s">
        <v>10</v>
      </c>
      <c r="C26" s="5"/>
      <c r="D26" s="5"/>
      <c r="E26" s="5"/>
      <c r="F26" s="5"/>
      <c r="G26" s="5"/>
      <c r="H26" s="4"/>
    </row>
    <row r="27" customFormat="false" ht="42" hidden="false" customHeight="true" outlineLevel="0" collapsed="false">
      <c r="A27" s="4"/>
      <c r="B27" s="6" t="s">
        <v>11</v>
      </c>
      <c r="C27" s="6"/>
      <c r="D27" s="6"/>
      <c r="E27" s="6"/>
      <c r="F27" s="6"/>
      <c r="G27" s="6"/>
      <c r="H27" s="4"/>
    </row>
    <row r="28" customFormat="false" ht="27.75" hidden="false" customHeight="true" outlineLevel="0" collapsed="false">
      <c r="A28" s="4"/>
      <c r="B28" s="6"/>
      <c r="C28" s="6"/>
      <c r="D28" s="6"/>
      <c r="E28" s="6"/>
      <c r="F28" s="6"/>
      <c r="G28" s="6"/>
      <c r="H28" s="4"/>
    </row>
    <row r="29" customFormat="false" ht="15" hidden="false" customHeight="true" outlineLevel="0" collapsed="false">
      <c r="A29" s="4"/>
      <c r="B29" s="8"/>
      <c r="C29" s="4"/>
      <c r="D29" s="4"/>
      <c r="E29" s="4"/>
      <c r="F29" s="4"/>
      <c r="G29" s="4"/>
      <c r="H29" s="4"/>
    </row>
    <row r="30" customFormat="false" ht="15" hidden="false" customHeight="true" outlineLevel="0" collapsed="false">
      <c r="A30" s="4"/>
      <c r="B30" s="8"/>
      <c r="C30" s="4"/>
      <c r="D30" s="4"/>
      <c r="E30" s="4"/>
      <c r="F30" s="4"/>
      <c r="G30" s="4"/>
      <c r="H30" s="4"/>
    </row>
  </sheetData>
  <sheetProtection sheet="true" formatCells="false" formatColumns="false" formatRows="false" insertColumns="false" sort="false"/>
  <mergeCells count="12">
    <mergeCell ref="A1:H2"/>
    <mergeCell ref="A3:H3"/>
    <mergeCell ref="B5:G5"/>
    <mergeCell ref="B6:G7"/>
    <mergeCell ref="B8:G8"/>
    <mergeCell ref="B9:G10"/>
    <mergeCell ref="B13:G13"/>
    <mergeCell ref="B14:G15"/>
    <mergeCell ref="B22:G22"/>
    <mergeCell ref="B23:G24"/>
    <mergeCell ref="B26:G26"/>
    <mergeCell ref="B27:G28"/>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2" min="2" style="1" width="18"/>
    <col collapsed="false" customWidth="true" hidden="false" outlineLevel="0" max="3" min="3" style="1" width="3"/>
    <col collapsed="false" customWidth="true" hidden="false" outlineLevel="0" max="4" min="4" style="1" width="24"/>
    <col collapsed="false" customWidth="true" hidden="false" outlineLevel="0" max="5" min="5" style="1" width="18"/>
    <col collapsed="false" customWidth="true" hidden="false" outlineLevel="0" max="6" min="6" style="1" width="3"/>
    <col collapsed="false" customWidth="true" hidden="false" outlineLevel="0" max="7" min="7" style="1" width="24"/>
    <col collapsed="false" customWidth="true" hidden="false" outlineLevel="0" max="8" min="8" style="1" width="18"/>
  </cols>
  <sheetData>
    <row r="1" customFormat="false" ht="33.75" hidden="false" customHeight="true" outlineLevel="0" collapsed="false">
      <c r="A1" s="9" t="s">
        <v>12</v>
      </c>
      <c r="B1" s="9"/>
      <c r="C1" s="9"/>
      <c r="D1" s="9"/>
      <c r="E1" s="9"/>
      <c r="F1" s="9"/>
      <c r="G1" s="9"/>
      <c r="H1" s="9"/>
    </row>
    <row r="2" customFormat="false" ht="15.75" hidden="false" customHeight="true" outlineLevel="0" collapsed="false">
      <c r="A2" s="9"/>
      <c r="B2" s="9"/>
      <c r="C2" s="9"/>
      <c r="D2" s="9"/>
      <c r="E2" s="9"/>
      <c r="F2" s="9"/>
      <c r="G2" s="9"/>
      <c r="H2" s="9"/>
    </row>
    <row r="3" customFormat="false" ht="15" hidden="false" customHeight="true" outlineLevel="0" collapsed="false">
      <c r="A3" s="10" t="s">
        <v>13</v>
      </c>
      <c r="B3" s="10"/>
      <c r="C3" s="10"/>
      <c r="D3" s="10"/>
      <c r="E3" s="10"/>
      <c r="F3" s="10"/>
      <c r="G3" s="10"/>
      <c r="H3" s="10"/>
    </row>
    <row r="4" customFormat="false" ht="15" hidden="false" customHeight="true" outlineLevel="0" collapsed="false">
      <c r="A4" s="4"/>
      <c r="B4" s="4"/>
      <c r="C4" s="4"/>
      <c r="D4" s="4"/>
      <c r="E4" s="4"/>
      <c r="F4" s="4"/>
      <c r="G4" s="4"/>
      <c r="H4" s="4"/>
    </row>
    <row r="5" customFormat="false" ht="15" hidden="false" customHeight="true" outlineLevel="0" collapsed="false">
      <c r="A5" s="11" t="s">
        <v>14</v>
      </c>
      <c r="B5" s="11"/>
      <c r="C5" s="11"/>
      <c r="D5" s="11"/>
      <c r="E5" s="11"/>
      <c r="F5" s="11"/>
      <c r="G5" s="11"/>
      <c r="H5" s="11"/>
    </row>
    <row r="6" customFormat="false" ht="33.75" hidden="false" customHeight="true" outlineLevel="0" collapsed="false">
      <c r="A6" s="12" t="str">
        <f aca="false">IFERROR(INDEX('Goals (Niyyah)'!B:B,MATCH("Yes",'Goals (Niyyah)'!H:H,0)),"Set one goal to Primary")</f>
        <v>Set one goal to Primary</v>
      </c>
      <c r="B6" s="12"/>
      <c r="C6" s="12"/>
      <c r="D6" s="12"/>
      <c r="E6" s="12"/>
      <c r="F6" s="12"/>
      <c r="G6" s="12"/>
      <c r="H6" s="12"/>
    </row>
    <row r="7" customFormat="false" ht="27.75" hidden="false" customHeight="true" outlineLevel="0" collapsed="false">
      <c r="A7" s="13" t="str">
        <f aca="false">IFERROR("Affirmation: "&amp;INDEX('Goals (Niyyah)'!E:E,MATCH("Yes",'Goals (Niyyah)'!H:H,0)),"Add an affirmation to your Primary goal.")</f>
        <v>Add an affirmation to your Primary goal.</v>
      </c>
      <c r="B7" s="13"/>
      <c r="C7" s="13"/>
      <c r="D7" s="13"/>
      <c r="E7" s="13"/>
      <c r="F7" s="13"/>
      <c r="G7" s="13"/>
      <c r="H7" s="13"/>
    </row>
    <row r="8" customFormat="false" ht="15" hidden="false" customHeight="true" outlineLevel="0" collapsed="false">
      <c r="A8" s="14" t="str">
        <f aca="true">IFERROR("Target date: "&amp;TEXT(INDEX('Goals (Niyyah)'!G:G,MATCH("Yes",'Goals (Niyyah)'!H:H,0)),"dd mmm yyyy")&amp;"   ·   Days left: "&amp;MAX(0,INDEX('Goals (Niyyah)'!G:G,MATCH("Yes",'Goals (Niyyah)'!H:H,0))-TODAY()),"Set a target date to see your countdown.")</f>
        <v>Set a target date to see your countdown.</v>
      </c>
      <c r="B8" s="14"/>
      <c r="C8" s="14"/>
      <c r="D8" s="14"/>
      <c r="E8" s="14"/>
      <c r="F8" s="14"/>
      <c r="G8" s="14"/>
      <c r="H8" s="14"/>
    </row>
    <row r="9" customFormat="false" ht="15" hidden="false" customHeight="true" outlineLevel="0" collapsed="false">
      <c r="A9" s="14" t="str">
        <f aca="false">IFERROR("Action rate: "&amp;TEXT(INDEX('Goals (Niyyah)'!K:K,MATCH("Yes",'Goals (Niyyah)'!H:H,0)),"0.0%")&amp;"   ·   Avg belief: "&amp;INDEX('Goals (Niyyah)'!L:L,MATCH("Yes",'Goals (Niyyah)'!H:H,0))&amp;" / 10","Add actions and belief entries to see progress.")</f>
        <v>Add actions and belief entries to see progress.</v>
      </c>
      <c r="B9" s="14"/>
      <c r="C9" s="14"/>
      <c r="D9" s="14"/>
      <c r="E9" s="14"/>
      <c r="F9" s="14"/>
      <c r="G9" s="14"/>
      <c r="H9" s="14"/>
    </row>
    <row r="10" customFormat="false" ht="15" hidden="false" customHeight="true" outlineLevel="0" collapsed="false">
      <c r="A10" s="4"/>
      <c r="B10" s="4"/>
      <c r="C10" s="4"/>
      <c r="D10" s="4"/>
      <c r="E10" s="4"/>
      <c r="F10" s="4"/>
      <c r="G10" s="4"/>
      <c r="H10" s="4"/>
    </row>
    <row r="11" customFormat="false" ht="15" hidden="false" customHeight="true" outlineLevel="0" collapsed="false">
      <c r="A11" s="15" t="s">
        <v>15</v>
      </c>
      <c r="B11" s="15"/>
      <c r="C11" s="15"/>
      <c r="D11" s="15"/>
      <c r="E11" s="15"/>
      <c r="F11" s="15"/>
      <c r="G11" s="15"/>
      <c r="H11" s="15"/>
    </row>
    <row r="12" customFormat="false" ht="15" hidden="false" customHeight="true" outlineLevel="0" collapsed="false">
      <c r="A12" s="16" t="str">
        <f aca="false">IF(COUNTIF('Goals (Niyyah)'!H6:H35,"Yes")=1,"✓ Ready — one Primary goal is selected.",IF(COUNTIF('Goals (Niyyah)'!H6:H35,"Yes")=0,"! Select one Primary goal on Goals (Niyyah).","! More than one Primary goal is selected — keep only one."))</f>
        <v>! Select one Primary goal on Goals (Niyyah).</v>
      </c>
      <c r="B12" s="16"/>
      <c r="C12" s="16"/>
      <c r="D12" s="16"/>
      <c r="E12" s="16"/>
      <c r="F12" s="16"/>
      <c r="G12" s="16"/>
      <c r="H12" s="16"/>
    </row>
    <row r="13" customFormat="false" ht="15" hidden="false" customHeight="true" outlineLevel="0" collapsed="false">
      <c r="A13" s="4"/>
      <c r="B13" s="4"/>
      <c r="C13" s="4"/>
      <c r="D13" s="4"/>
      <c r="E13" s="4"/>
      <c r="F13" s="4"/>
      <c r="G13" s="4"/>
      <c r="H13" s="4"/>
    </row>
    <row r="14" customFormat="false" ht="15" hidden="false" customHeight="true" outlineLevel="0" collapsed="false">
      <c r="A14" s="4"/>
      <c r="B14" s="4"/>
      <c r="C14" s="4"/>
      <c r="D14" s="4"/>
      <c r="E14" s="4"/>
      <c r="F14" s="4"/>
      <c r="G14" s="4"/>
      <c r="H14" s="4"/>
    </row>
    <row r="15" customFormat="false" ht="15" hidden="false" customHeight="true" outlineLevel="0" collapsed="false">
      <c r="A15" s="17" t="s">
        <v>16</v>
      </c>
      <c r="B15" s="17"/>
      <c r="C15" s="4"/>
      <c r="D15" s="17" t="s">
        <v>17</v>
      </c>
      <c r="E15" s="17"/>
      <c r="F15" s="4"/>
      <c r="G15" s="17" t="s">
        <v>18</v>
      </c>
      <c r="H15" s="17"/>
    </row>
    <row r="16" customFormat="false" ht="15" hidden="false" customHeight="true" outlineLevel="0" collapsed="false">
      <c r="A16" s="18" t="str">
        <f aca="false">'Actions Tracker'!AL27</f>
        <v>-</v>
      </c>
      <c r="B16" s="18"/>
      <c r="C16" s="4"/>
      <c r="D16" s="19" t="str">
        <f aca="false">IFERROR(ROUND(AVERAGE('Belief Tracker'!C6:C65),1),"-")</f>
        <v>-</v>
      </c>
      <c r="E16" s="19"/>
      <c r="F16" s="4"/>
      <c r="G16" s="19" t="n">
        <f aca="false">IFERROR(LOOKUP(2,1/('Actions Tracker'!E29:AI29&lt;&gt;""),'Actions Tracker'!E29:AI29),0)</f>
        <v>0</v>
      </c>
      <c r="H16" s="19"/>
    </row>
    <row r="17" customFormat="false" ht="15" hidden="false" customHeight="true" outlineLevel="0" collapsed="false">
      <c r="A17" s="18"/>
      <c r="B17" s="18"/>
      <c r="C17" s="4"/>
      <c r="D17" s="19"/>
      <c r="E17" s="19"/>
      <c r="F17" s="4"/>
      <c r="G17" s="19"/>
      <c r="H17" s="19"/>
    </row>
    <row r="18" customFormat="false" ht="15" hidden="false" customHeight="true" outlineLevel="0" collapsed="false">
      <c r="A18" s="4"/>
      <c r="B18" s="4"/>
      <c r="C18" s="4"/>
      <c r="D18" s="4"/>
      <c r="E18" s="4"/>
      <c r="F18" s="4"/>
      <c r="G18" s="4"/>
      <c r="H18" s="4"/>
    </row>
    <row r="19" customFormat="false" ht="15" hidden="false" customHeight="true" outlineLevel="0" collapsed="false">
      <c r="A19" s="15" t="s">
        <v>19</v>
      </c>
      <c r="B19" s="15"/>
      <c r="C19" s="4"/>
      <c r="D19" s="15" t="s">
        <v>20</v>
      </c>
      <c r="E19" s="15"/>
      <c r="F19" s="4"/>
      <c r="G19" s="15" t="s">
        <v>21</v>
      </c>
      <c r="H19" s="15"/>
    </row>
    <row r="20" customFormat="false" ht="15" hidden="false" customHeight="true" outlineLevel="0" collapsed="false">
      <c r="A20" s="20" t="n">
        <f aca="false">'Actions Tracker'!AJ27</f>
        <v>0</v>
      </c>
      <c r="B20" s="20"/>
      <c r="C20" s="4"/>
      <c r="D20" s="20" t="n">
        <f aca="false">'Actions Tracker'!AK27</f>
        <v>0</v>
      </c>
      <c r="E20" s="20"/>
      <c r="F20" s="4"/>
      <c r="G20" s="20" t="n">
        <f aca="false">COUNTA('Daily Journal'!B6:B65)</f>
        <v>0</v>
      </c>
      <c r="H20" s="20"/>
    </row>
    <row r="21" customFormat="false" ht="15" hidden="false" customHeight="true" outlineLevel="0" collapsed="false">
      <c r="A21" s="20"/>
      <c r="B21" s="20"/>
      <c r="C21" s="4"/>
      <c r="D21" s="20"/>
      <c r="E21" s="20"/>
      <c r="F21" s="4"/>
      <c r="G21" s="20"/>
      <c r="H21" s="20"/>
    </row>
    <row r="22" customFormat="false" ht="15" hidden="false" customHeight="true" outlineLevel="0" collapsed="false">
      <c r="A22" s="4"/>
      <c r="B22" s="4"/>
      <c r="C22" s="4"/>
      <c r="D22" s="4"/>
      <c r="E22" s="4"/>
      <c r="F22" s="4"/>
      <c r="G22" s="4"/>
      <c r="H22" s="4"/>
    </row>
    <row r="23" customFormat="false" ht="15" hidden="false" customHeight="true" outlineLevel="0" collapsed="false">
      <c r="A23" s="4"/>
      <c r="B23" s="4"/>
      <c r="C23" s="4"/>
      <c r="D23" s="4"/>
      <c r="E23" s="4"/>
      <c r="F23" s="4"/>
      <c r="G23" s="4"/>
      <c r="H23" s="4"/>
    </row>
    <row r="24" customFormat="false" ht="15" hidden="false" customHeight="true" outlineLevel="0" collapsed="false">
      <c r="A24" s="11" t="s">
        <v>22</v>
      </c>
      <c r="B24" s="11"/>
      <c r="C24" s="11"/>
      <c r="D24" s="11"/>
      <c r="E24" s="11"/>
      <c r="F24" s="11"/>
      <c r="G24" s="11"/>
      <c r="H24" s="11"/>
    </row>
    <row r="25" customFormat="false" ht="15" hidden="false" customHeight="true" outlineLevel="0" collapsed="false">
      <c r="A25" s="21" t="s">
        <v>23</v>
      </c>
      <c r="B25" s="21" t="s">
        <v>24</v>
      </c>
      <c r="C25" s="4"/>
      <c r="D25" s="21" t="s">
        <v>25</v>
      </c>
      <c r="E25" s="21" t="s">
        <v>26</v>
      </c>
      <c r="F25" s="4"/>
      <c r="G25" s="4"/>
      <c r="H25" s="4"/>
    </row>
    <row r="26" customFormat="false" ht="25.5" hidden="false" customHeight="true" outlineLevel="0" collapsed="false">
      <c r="A26" s="22" t="str">
        <f aca="false">IF('Actions Tracker'!A6="","",'Actions Tracker'!A6)</f>
        <v/>
      </c>
      <c r="B26" s="23" t="str">
        <f aca="false">IF('Actions Tracker'!A6="","",'Actions Tracker'!AJ6)</f>
        <v/>
      </c>
      <c r="C26" s="4"/>
      <c r="D26" s="23" t="str">
        <f aca="false">IF('Actions Tracker'!A6="","",'Actions Tracker'!AK6)</f>
        <v/>
      </c>
      <c r="E26" s="24" t="str">
        <f aca="false">IF('Actions Tracker'!A6="","",'Actions Tracker'!AL6)</f>
        <v/>
      </c>
      <c r="F26" s="4"/>
      <c r="G26" s="4"/>
      <c r="H26" s="4"/>
    </row>
    <row r="27" customFormat="false" ht="25.5" hidden="false" customHeight="true" outlineLevel="0" collapsed="false">
      <c r="A27" s="22" t="str">
        <f aca="false">IF('Actions Tracker'!A7="","",'Actions Tracker'!A7)</f>
        <v/>
      </c>
      <c r="B27" s="23" t="str">
        <f aca="false">IF('Actions Tracker'!A7="","",'Actions Tracker'!AJ7)</f>
        <v/>
      </c>
      <c r="C27" s="4"/>
      <c r="D27" s="23" t="str">
        <f aca="false">IF('Actions Tracker'!A7="","",'Actions Tracker'!AK7)</f>
        <v/>
      </c>
      <c r="E27" s="24" t="str">
        <f aca="false">IF('Actions Tracker'!A7="","",'Actions Tracker'!AL7)</f>
        <v/>
      </c>
      <c r="F27" s="4"/>
      <c r="G27" s="4"/>
      <c r="H27" s="4"/>
    </row>
    <row r="28" customFormat="false" ht="25.5" hidden="false" customHeight="true" outlineLevel="0" collapsed="false">
      <c r="A28" s="22" t="str">
        <f aca="false">IF('Actions Tracker'!A8="","",'Actions Tracker'!A8)</f>
        <v/>
      </c>
      <c r="B28" s="23" t="str">
        <f aca="false">IF('Actions Tracker'!A8="","",'Actions Tracker'!AJ8)</f>
        <v/>
      </c>
      <c r="C28" s="4"/>
      <c r="D28" s="23" t="str">
        <f aca="false">IF('Actions Tracker'!A8="","",'Actions Tracker'!AK8)</f>
        <v/>
      </c>
      <c r="E28" s="24" t="str">
        <f aca="false">IF('Actions Tracker'!A8="","",'Actions Tracker'!AL8)</f>
        <v/>
      </c>
      <c r="F28" s="4"/>
      <c r="G28" s="4"/>
      <c r="H28" s="4"/>
    </row>
    <row r="29" customFormat="false" ht="25.5" hidden="false" customHeight="true" outlineLevel="0" collapsed="false">
      <c r="A29" s="22" t="str">
        <f aca="false">IF('Actions Tracker'!A9="","",'Actions Tracker'!A9)</f>
        <v/>
      </c>
      <c r="B29" s="23" t="str">
        <f aca="false">IF('Actions Tracker'!A9="","",'Actions Tracker'!AJ9)</f>
        <v/>
      </c>
      <c r="C29" s="4"/>
      <c r="D29" s="23" t="str">
        <f aca="false">IF('Actions Tracker'!A9="","",'Actions Tracker'!AK9)</f>
        <v/>
      </c>
      <c r="E29" s="24" t="str">
        <f aca="false">IF('Actions Tracker'!A9="","",'Actions Tracker'!AL9)</f>
        <v/>
      </c>
      <c r="F29" s="4"/>
      <c r="G29" s="4"/>
      <c r="H29" s="4"/>
    </row>
    <row r="30" customFormat="false" ht="25.5" hidden="false" customHeight="true" outlineLevel="0" collapsed="false">
      <c r="A30" s="22" t="str">
        <f aca="false">IF('Actions Tracker'!A10="","",'Actions Tracker'!A10)</f>
        <v/>
      </c>
      <c r="B30" s="23" t="str">
        <f aca="false">IF('Actions Tracker'!A10="","",'Actions Tracker'!AJ10)</f>
        <v/>
      </c>
      <c r="C30" s="4"/>
      <c r="D30" s="23" t="str">
        <f aca="false">IF('Actions Tracker'!A10="","",'Actions Tracker'!AK10)</f>
        <v/>
      </c>
      <c r="E30" s="24" t="str">
        <f aca="false">IF('Actions Tracker'!A10="","",'Actions Tracker'!AL10)</f>
        <v/>
      </c>
      <c r="F30" s="4"/>
      <c r="G30" s="4"/>
      <c r="H30" s="4"/>
    </row>
    <row r="31" customFormat="false" ht="25.5" hidden="false" customHeight="true" outlineLevel="0" collapsed="false">
      <c r="A31" s="22" t="str">
        <f aca="false">IF('Actions Tracker'!A11="","",'Actions Tracker'!A11)</f>
        <v/>
      </c>
      <c r="B31" s="23" t="str">
        <f aca="false">IF('Actions Tracker'!A11="","",'Actions Tracker'!AJ11)</f>
        <v/>
      </c>
      <c r="C31" s="4"/>
      <c r="D31" s="23" t="str">
        <f aca="false">IF('Actions Tracker'!A11="","",'Actions Tracker'!AK11)</f>
        <v/>
      </c>
      <c r="E31" s="24" t="str">
        <f aca="false">IF('Actions Tracker'!A11="","",'Actions Tracker'!AL11)</f>
        <v/>
      </c>
      <c r="F31" s="4"/>
      <c r="G31" s="4"/>
      <c r="H31" s="4"/>
    </row>
    <row r="32" customFormat="false" ht="15" hidden="false" customHeight="true" outlineLevel="0" collapsed="false">
      <c r="A32" s="4"/>
      <c r="B32" s="4"/>
      <c r="C32" s="4"/>
      <c r="D32" s="4"/>
      <c r="E32" s="4"/>
      <c r="F32" s="4"/>
      <c r="G32" s="4"/>
      <c r="H32" s="4"/>
    </row>
    <row r="33" customFormat="false" ht="15" hidden="false" customHeight="true" outlineLevel="0" collapsed="false">
      <c r="A33" s="4"/>
      <c r="B33" s="4"/>
      <c r="C33" s="4"/>
      <c r="D33" s="4"/>
      <c r="E33" s="4"/>
      <c r="F33" s="4"/>
      <c r="G33" s="4"/>
      <c r="H33" s="4"/>
    </row>
    <row r="34" customFormat="false" ht="15" hidden="false" customHeight="true" outlineLevel="0" collapsed="false">
      <c r="A34" s="25" t="s">
        <v>27</v>
      </c>
      <c r="B34" s="4"/>
      <c r="C34" s="4"/>
      <c r="D34" s="4"/>
      <c r="E34" s="4"/>
      <c r="F34" s="4"/>
      <c r="G34" s="4"/>
      <c r="H34" s="4"/>
    </row>
    <row r="35" customFormat="false" ht="15" hidden="false" customHeight="true" outlineLevel="0" collapsed="false">
      <c r="A35" s="26" t="s">
        <v>28</v>
      </c>
      <c r="B35" s="4"/>
      <c r="C35" s="4"/>
      <c r="D35" s="26" t="s">
        <v>29</v>
      </c>
      <c r="E35" s="4"/>
      <c r="F35" s="4"/>
      <c r="G35" s="26" t="s">
        <v>30</v>
      </c>
      <c r="H35" s="4"/>
    </row>
    <row r="36" customFormat="false" ht="15" hidden="false" customHeight="true" outlineLevel="0" collapsed="false">
      <c r="A36" s="26" t="s">
        <v>31</v>
      </c>
      <c r="B36" s="4"/>
      <c r="C36" s="4"/>
      <c r="D36" s="26" t="s">
        <v>32</v>
      </c>
      <c r="E36" s="4"/>
      <c r="F36" s="4"/>
      <c r="G36" s="26" t="s">
        <v>33</v>
      </c>
      <c r="H36" s="4"/>
    </row>
    <row r="37" customFormat="false" ht="15" hidden="false" customHeight="true" outlineLevel="0" collapsed="false">
      <c r="A37" s="4"/>
      <c r="B37" s="4"/>
      <c r="C37" s="4"/>
      <c r="D37" s="4"/>
      <c r="E37" s="4"/>
      <c r="F37" s="4"/>
      <c r="G37" s="4"/>
      <c r="H37" s="4"/>
    </row>
    <row r="38" customFormat="false" ht="15" hidden="false" customHeight="true" outlineLevel="0" collapsed="false">
      <c r="A38" s="4"/>
      <c r="B38" s="4"/>
      <c r="C38" s="4"/>
      <c r="D38" s="4"/>
      <c r="E38" s="4"/>
      <c r="F38" s="4"/>
      <c r="G38" s="4"/>
      <c r="H38" s="4"/>
    </row>
    <row r="39" customFormat="false" ht="15" hidden="false" customHeight="true" outlineLevel="0" collapsed="false">
      <c r="A39" s="4"/>
      <c r="B39" s="4"/>
      <c r="C39" s="4"/>
      <c r="D39" s="4"/>
      <c r="E39" s="4"/>
      <c r="F39" s="4"/>
      <c r="G39" s="4"/>
      <c r="H39" s="4"/>
    </row>
    <row r="40" customFormat="false" ht="15" hidden="false" customHeight="true" outlineLevel="0" collapsed="false">
      <c r="A40" s="4"/>
      <c r="B40" s="4"/>
      <c r="C40" s="4"/>
      <c r="D40" s="4"/>
      <c r="E40" s="4"/>
      <c r="F40" s="4"/>
      <c r="G40" s="4"/>
      <c r="H40" s="4"/>
    </row>
  </sheetData>
  <sheetProtection sheet="true" formatCells="false" formatColumns="false" formatRows="false" insertColumns="false" sort="false"/>
  <mergeCells count="22">
    <mergeCell ref="A1:H2"/>
    <mergeCell ref="A3:H3"/>
    <mergeCell ref="A5:H5"/>
    <mergeCell ref="A6:H6"/>
    <mergeCell ref="A7:H7"/>
    <mergeCell ref="A8:H8"/>
    <mergeCell ref="A9:H9"/>
    <mergeCell ref="A11:H11"/>
    <mergeCell ref="A12:H12"/>
    <mergeCell ref="A15:B15"/>
    <mergeCell ref="D15:E15"/>
    <mergeCell ref="G15:H15"/>
    <mergeCell ref="A16:B17"/>
    <mergeCell ref="D16:E17"/>
    <mergeCell ref="G16:H17"/>
    <mergeCell ref="A19:B19"/>
    <mergeCell ref="D19:E19"/>
    <mergeCell ref="G19:H19"/>
    <mergeCell ref="A20:B21"/>
    <mergeCell ref="D20:E21"/>
    <mergeCell ref="G20:H21"/>
    <mergeCell ref="A24:H24"/>
  </mergeCells>
  <conditionalFormatting sqref="E26:E31">
    <cfRule type="colorScale" priority="2">
      <colorScale>
        <cfvo type="num" val="0"/>
        <cfvo type="num" val="1"/>
        <color rgb="FFFECACA"/>
        <color rgb="FF86EFAC"/>
      </colorScale>
    </cfRule>
  </conditionalFormatting>
  <hyperlinks>
    <hyperlink ref="A35" r:id="rId1" location="'Goals%20(Niyah)'!A1" display="Goals — Niyyah"/>
    <hyperlink ref="D35" r:id="rId2" location="'Actions%20Tracker'!A1" display="Actions — Amal"/>
    <hyperlink ref="G35" r:id="rId3" location="'Belief%20Tracker'!A1" display="Belief — Yaqiin"/>
    <hyperlink ref="A36" r:id="rId4" location="'Manifest%20Board'!A1" display="Manifest Board"/>
    <hyperlink ref="D36" r:id="rId5" location="'Daily%20Journal'!A1" display="Daily Journal"/>
    <hyperlink ref="G36" r:id="rId6" location="'Lists'!A1" display="Lists / Settings"/>
  </hyperlink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7"/>
    <col collapsed="false" customWidth="true" hidden="false" outlineLevel="0" max="3" min="3" style="1" width="18"/>
    <col collapsed="false" customWidth="true" hidden="false" outlineLevel="0" max="5" min="4" style="1" width="30"/>
    <col collapsed="false" customWidth="true" hidden="false" outlineLevel="0" max="7" min="6" style="1" width="13"/>
    <col collapsed="false" customWidth="true" hidden="false" outlineLevel="0" max="8" min="8" style="1" width="11"/>
    <col collapsed="false" customWidth="true" hidden="false" outlineLevel="0" max="9" min="9" style="1" width="15"/>
    <col collapsed="false" customWidth="true" hidden="false" outlineLevel="0" max="11" min="10" style="1" width="14"/>
    <col collapsed="false" customWidth="true" hidden="false" outlineLevel="0" max="12" min="12" style="1" width="12"/>
  </cols>
  <sheetData>
    <row r="1" customFormat="false" ht="30" hidden="false" customHeight="true" outlineLevel="0" collapsed="false">
      <c r="A1" s="27" t="s">
        <v>34</v>
      </c>
      <c r="B1" s="27"/>
      <c r="C1" s="27"/>
      <c r="D1" s="27"/>
      <c r="E1" s="27"/>
      <c r="F1" s="27"/>
      <c r="G1" s="27"/>
      <c r="H1" s="27"/>
      <c r="I1" s="27"/>
      <c r="J1" s="27"/>
      <c r="K1" s="27"/>
      <c r="L1" s="27"/>
    </row>
    <row r="2" customFormat="false" ht="15.75" hidden="false" customHeight="true" outlineLevel="0" collapsed="false">
      <c r="A2" s="27"/>
      <c r="B2" s="27"/>
      <c r="C2" s="27"/>
      <c r="D2" s="27"/>
      <c r="E2" s="27"/>
      <c r="F2" s="27"/>
      <c r="G2" s="27"/>
      <c r="H2" s="27"/>
      <c r="I2" s="27"/>
      <c r="J2" s="27"/>
      <c r="K2" s="27"/>
      <c r="L2" s="27"/>
    </row>
    <row r="3" customFormat="false" ht="21.75" hidden="false" customHeight="true" outlineLevel="0" collapsed="false">
      <c r="A3" s="28" t="s">
        <v>35</v>
      </c>
      <c r="B3" s="28"/>
      <c r="C3" s="28"/>
      <c r="D3" s="28"/>
      <c r="E3" s="28"/>
      <c r="F3" s="28"/>
      <c r="G3" s="28"/>
      <c r="H3" s="28"/>
      <c r="I3" s="28"/>
      <c r="J3" s="28"/>
      <c r="K3" s="28"/>
      <c r="L3" s="28"/>
    </row>
    <row r="5" customFormat="false" ht="30" hidden="false" customHeight="true" outlineLevel="0" collapsed="false">
      <c r="A5" s="29" t="s">
        <v>36</v>
      </c>
      <c r="B5" s="29" t="s">
        <v>37</v>
      </c>
      <c r="C5" s="29" t="s">
        <v>38</v>
      </c>
      <c r="D5" s="29" t="s">
        <v>39</v>
      </c>
      <c r="E5" s="29" t="s">
        <v>40</v>
      </c>
      <c r="F5" s="29" t="s">
        <v>41</v>
      </c>
      <c r="G5" s="29" t="s">
        <v>42</v>
      </c>
      <c r="H5" s="29" t="s">
        <v>43</v>
      </c>
      <c r="I5" s="29" t="s">
        <v>44</v>
      </c>
      <c r="J5" s="29" t="s">
        <v>45</v>
      </c>
      <c r="K5" s="29" t="s">
        <v>46</v>
      </c>
      <c r="L5" s="29" t="s">
        <v>47</v>
      </c>
    </row>
    <row r="6" customFormat="false" ht="31.5" hidden="false" customHeight="true" outlineLevel="0" collapsed="false">
      <c r="A6" s="30" t="n">
        <v>1</v>
      </c>
      <c r="B6" s="31"/>
      <c r="C6" s="31"/>
      <c r="D6" s="31"/>
      <c r="E6" s="31"/>
      <c r="F6" s="32"/>
      <c r="G6" s="32"/>
      <c r="H6" s="31"/>
      <c r="I6" s="31"/>
      <c r="J6" s="33" t="str">
        <f aca="false">IF(B6="","",COUNTIF('Actions Tracker'!$D$6:$D$25,B6))</f>
        <v/>
      </c>
      <c r="K6" s="34" t="str">
        <f aca="false">IF(B6="","",IFERROR(AVERAGEIF('Actions Tracker'!$D$6:$D$25,B6,'Actions Tracker'!$AL$6:$AL$25),"-"))</f>
        <v/>
      </c>
      <c r="L6" s="35" t="str">
        <f aca="false">IF(B6="","",IFERROR(ROUND(AVERAGEIF('Belief Tracker'!$B$6:$B$65,B6,'Belief Tracker'!$C$6:$C$65),1),"-"))</f>
        <v/>
      </c>
    </row>
    <row r="7" customFormat="false" ht="31.5" hidden="false" customHeight="true" outlineLevel="0" collapsed="false">
      <c r="A7" s="30" t="n">
        <v>2</v>
      </c>
      <c r="B7" s="31"/>
      <c r="C7" s="31"/>
      <c r="D7" s="31"/>
      <c r="E7" s="31"/>
      <c r="F7" s="32"/>
      <c r="G7" s="32"/>
      <c r="H7" s="31"/>
      <c r="I7" s="31"/>
      <c r="J7" s="33" t="str">
        <f aca="false">IF(B7="","",COUNTIF('Actions Tracker'!$D$6:$D$25,B7))</f>
        <v/>
      </c>
      <c r="K7" s="34" t="str">
        <f aca="false">IF(B7="","",IFERROR(AVERAGEIF('Actions Tracker'!$D$6:$D$25,B7,'Actions Tracker'!$AL$6:$AL$25),"-"))</f>
        <v/>
      </c>
      <c r="L7" s="35" t="str">
        <f aca="false">IF(B7="","",IFERROR(ROUND(AVERAGEIF('Belief Tracker'!$B$6:$B$65,B7,'Belief Tracker'!$C$6:$C$65),1),"-"))</f>
        <v/>
      </c>
    </row>
    <row r="8" customFormat="false" ht="31.5" hidden="false" customHeight="true" outlineLevel="0" collapsed="false">
      <c r="A8" s="30" t="n">
        <v>3</v>
      </c>
      <c r="B8" s="31"/>
      <c r="C8" s="31"/>
      <c r="D8" s="31"/>
      <c r="E8" s="31"/>
      <c r="F8" s="32"/>
      <c r="G8" s="32"/>
      <c r="H8" s="31"/>
      <c r="I8" s="31"/>
      <c r="J8" s="33" t="str">
        <f aca="false">IF(B8="","",COUNTIF('Actions Tracker'!$D$6:$D$25,B8))</f>
        <v/>
      </c>
      <c r="K8" s="34" t="str">
        <f aca="false">IF(B8="","",IFERROR(AVERAGEIF('Actions Tracker'!$D$6:$D$25,B8,'Actions Tracker'!$AL$6:$AL$25),"-"))</f>
        <v/>
      </c>
      <c r="L8" s="35" t="str">
        <f aca="false">IF(B8="","",IFERROR(ROUND(AVERAGEIF('Belief Tracker'!$B$6:$B$65,B8,'Belief Tracker'!$C$6:$C$65),1),"-"))</f>
        <v/>
      </c>
    </row>
    <row r="9" customFormat="false" ht="27.75" hidden="false" customHeight="true" outlineLevel="0" collapsed="false">
      <c r="A9" s="30" t="n">
        <v>4</v>
      </c>
      <c r="B9" s="31"/>
      <c r="C9" s="31"/>
      <c r="D9" s="31"/>
      <c r="E9" s="31"/>
      <c r="F9" s="32"/>
      <c r="G9" s="32"/>
      <c r="H9" s="31"/>
      <c r="I9" s="31"/>
      <c r="J9" s="33" t="str">
        <f aca="false">IF(B9="","",COUNTIF('Actions Tracker'!$D$6:$D$25,B9))</f>
        <v/>
      </c>
      <c r="K9" s="34" t="str">
        <f aca="false">IF(B9="","",IFERROR(AVERAGEIF('Actions Tracker'!$D$6:$D$25,B9,'Actions Tracker'!$AL$6:$AL$25),"-"))</f>
        <v/>
      </c>
      <c r="L9" s="35" t="str">
        <f aca="false">IF(B9="","",IFERROR(ROUND(AVERAGEIF('Belief Tracker'!$B$6:$B$65,B9,'Belief Tracker'!$C$6:$C$65),1),"-"))</f>
        <v/>
      </c>
    </row>
    <row r="10" customFormat="false" ht="27.75" hidden="false" customHeight="true" outlineLevel="0" collapsed="false">
      <c r="A10" s="30" t="n">
        <v>5</v>
      </c>
      <c r="B10" s="31"/>
      <c r="C10" s="31"/>
      <c r="D10" s="31"/>
      <c r="E10" s="31"/>
      <c r="F10" s="32"/>
      <c r="G10" s="32"/>
      <c r="H10" s="31"/>
      <c r="I10" s="31"/>
      <c r="J10" s="33" t="str">
        <f aca="false">IF(B10="","",COUNTIF('Actions Tracker'!$D$6:$D$25,B10))</f>
        <v/>
      </c>
      <c r="K10" s="34" t="str">
        <f aca="false">IF(B10="","",IFERROR(AVERAGEIF('Actions Tracker'!$D$6:$D$25,B10,'Actions Tracker'!$AL$6:$AL$25),"-"))</f>
        <v/>
      </c>
      <c r="L10" s="35" t="str">
        <f aca="false">IF(B10="","",IFERROR(ROUND(AVERAGEIF('Belief Tracker'!$B$6:$B$65,B10,'Belief Tracker'!$C$6:$C$65),1),"-"))</f>
        <v/>
      </c>
    </row>
    <row r="11" customFormat="false" ht="27.75" hidden="false" customHeight="true" outlineLevel="0" collapsed="false">
      <c r="A11" s="30" t="n">
        <v>6</v>
      </c>
      <c r="B11" s="31"/>
      <c r="C11" s="31"/>
      <c r="D11" s="31"/>
      <c r="E11" s="31"/>
      <c r="F11" s="32"/>
      <c r="G11" s="32"/>
      <c r="H11" s="31"/>
      <c r="I11" s="31"/>
      <c r="J11" s="33" t="str">
        <f aca="false">IF(B11="","",COUNTIF('Actions Tracker'!$D$6:$D$25,B11))</f>
        <v/>
      </c>
      <c r="K11" s="34" t="str">
        <f aca="false">IF(B11="","",IFERROR(AVERAGEIF('Actions Tracker'!$D$6:$D$25,B11,'Actions Tracker'!$AL$6:$AL$25),"-"))</f>
        <v/>
      </c>
      <c r="L11" s="35" t="str">
        <f aca="false">IF(B11="","",IFERROR(ROUND(AVERAGEIF('Belief Tracker'!$B$6:$B$65,B11,'Belief Tracker'!$C$6:$C$65),1),"-"))</f>
        <v/>
      </c>
    </row>
    <row r="12" customFormat="false" ht="27.75" hidden="false" customHeight="true" outlineLevel="0" collapsed="false">
      <c r="A12" s="30" t="n">
        <v>7</v>
      </c>
      <c r="B12" s="31"/>
      <c r="C12" s="31"/>
      <c r="D12" s="31"/>
      <c r="E12" s="31"/>
      <c r="F12" s="32"/>
      <c r="G12" s="32"/>
      <c r="H12" s="31"/>
      <c r="I12" s="31"/>
      <c r="J12" s="33" t="str">
        <f aca="false">IF(B12="","",COUNTIF('Actions Tracker'!$D$6:$D$25,B12))</f>
        <v/>
      </c>
      <c r="K12" s="34" t="str">
        <f aca="false">IF(B12="","",IFERROR(AVERAGEIF('Actions Tracker'!$D$6:$D$25,B12,'Actions Tracker'!$AL$6:$AL$25),"-"))</f>
        <v/>
      </c>
      <c r="L12" s="35" t="str">
        <f aca="false">IF(B12="","",IFERROR(ROUND(AVERAGEIF('Belief Tracker'!$B$6:$B$65,B12,'Belief Tracker'!$C$6:$C$65),1),"-"))</f>
        <v/>
      </c>
    </row>
    <row r="13" customFormat="false" ht="27.75" hidden="false" customHeight="true" outlineLevel="0" collapsed="false">
      <c r="A13" s="30" t="n">
        <v>8</v>
      </c>
      <c r="B13" s="31"/>
      <c r="C13" s="31"/>
      <c r="D13" s="31"/>
      <c r="E13" s="31"/>
      <c r="F13" s="32"/>
      <c r="G13" s="32"/>
      <c r="H13" s="31"/>
      <c r="I13" s="31"/>
      <c r="J13" s="33" t="str">
        <f aca="false">IF(B13="","",COUNTIF('Actions Tracker'!$D$6:$D$25,B13))</f>
        <v/>
      </c>
      <c r="K13" s="34" t="str">
        <f aca="false">IF(B13="","",IFERROR(AVERAGEIF('Actions Tracker'!$D$6:$D$25,B13,'Actions Tracker'!$AL$6:$AL$25),"-"))</f>
        <v/>
      </c>
      <c r="L13" s="35" t="str">
        <f aca="false">IF(B13="","",IFERROR(ROUND(AVERAGEIF('Belief Tracker'!$B$6:$B$65,B13,'Belief Tracker'!$C$6:$C$65),1),"-"))</f>
        <v/>
      </c>
    </row>
    <row r="14" customFormat="false" ht="27.75" hidden="false" customHeight="true" outlineLevel="0" collapsed="false">
      <c r="A14" s="30" t="n">
        <v>9</v>
      </c>
      <c r="B14" s="31"/>
      <c r="C14" s="31"/>
      <c r="D14" s="31"/>
      <c r="E14" s="31"/>
      <c r="F14" s="32"/>
      <c r="G14" s="32"/>
      <c r="H14" s="31"/>
      <c r="I14" s="31"/>
      <c r="J14" s="33" t="str">
        <f aca="false">IF(B14="","",COUNTIF('Actions Tracker'!$D$6:$D$25,B14))</f>
        <v/>
      </c>
      <c r="K14" s="34" t="str">
        <f aca="false">IF(B14="","",IFERROR(AVERAGEIF('Actions Tracker'!$D$6:$D$25,B14,'Actions Tracker'!$AL$6:$AL$25),"-"))</f>
        <v/>
      </c>
      <c r="L14" s="35" t="str">
        <f aca="false">IF(B14="","",IFERROR(ROUND(AVERAGEIF('Belief Tracker'!$B$6:$B$65,B14,'Belief Tracker'!$C$6:$C$65),1),"-"))</f>
        <v/>
      </c>
    </row>
    <row r="15" customFormat="false" ht="27.75" hidden="false" customHeight="true" outlineLevel="0" collapsed="false">
      <c r="A15" s="30" t="n">
        <v>10</v>
      </c>
      <c r="B15" s="31"/>
      <c r="C15" s="31"/>
      <c r="D15" s="31"/>
      <c r="E15" s="31"/>
      <c r="F15" s="32"/>
      <c r="G15" s="32"/>
      <c r="H15" s="31"/>
      <c r="I15" s="31"/>
      <c r="J15" s="33" t="str">
        <f aca="false">IF(B15="","",COUNTIF('Actions Tracker'!$D$6:$D$25,B15))</f>
        <v/>
      </c>
      <c r="K15" s="34" t="str">
        <f aca="false">IF(B15="","",IFERROR(AVERAGEIF('Actions Tracker'!$D$6:$D$25,B15,'Actions Tracker'!$AL$6:$AL$25),"-"))</f>
        <v/>
      </c>
      <c r="L15" s="35" t="str">
        <f aca="false">IF(B15="","",IFERROR(ROUND(AVERAGEIF('Belief Tracker'!$B$6:$B$65,B15,'Belief Tracker'!$C$6:$C$65),1),"-"))</f>
        <v/>
      </c>
    </row>
    <row r="16" customFormat="false" ht="27.75" hidden="false" customHeight="true" outlineLevel="0" collapsed="false">
      <c r="A16" s="30" t="n">
        <v>11</v>
      </c>
      <c r="B16" s="31"/>
      <c r="C16" s="31"/>
      <c r="D16" s="31"/>
      <c r="E16" s="31"/>
      <c r="F16" s="32"/>
      <c r="G16" s="32"/>
      <c r="H16" s="31"/>
      <c r="I16" s="31"/>
      <c r="J16" s="33" t="str">
        <f aca="false">IF(B16="","",COUNTIF('Actions Tracker'!$D$6:$D$25,B16))</f>
        <v/>
      </c>
      <c r="K16" s="34" t="str">
        <f aca="false">IF(B16="","",IFERROR(AVERAGEIF('Actions Tracker'!$D$6:$D$25,B16,'Actions Tracker'!$AL$6:$AL$25),"-"))</f>
        <v/>
      </c>
      <c r="L16" s="35" t="str">
        <f aca="false">IF(B16="","",IFERROR(ROUND(AVERAGEIF('Belief Tracker'!$B$6:$B$65,B16,'Belief Tracker'!$C$6:$C$65),1),"-"))</f>
        <v/>
      </c>
    </row>
    <row r="17" customFormat="false" ht="27.75" hidden="false" customHeight="true" outlineLevel="0" collapsed="false">
      <c r="A17" s="30" t="n">
        <v>12</v>
      </c>
      <c r="B17" s="31"/>
      <c r="C17" s="31"/>
      <c r="D17" s="31"/>
      <c r="E17" s="31"/>
      <c r="F17" s="32"/>
      <c r="G17" s="32"/>
      <c r="H17" s="31"/>
      <c r="I17" s="31"/>
      <c r="J17" s="33" t="str">
        <f aca="false">IF(B17="","",COUNTIF('Actions Tracker'!$D$6:$D$25,B17))</f>
        <v/>
      </c>
      <c r="K17" s="34" t="str">
        <f aca="false">IF(B17="","",IFERROR(AVERAGEIF('Actions Tracker'!$D$6:$D$25,B17,'Actions Tracker'!$AL$6:$AL$25),"-"))</f>
        <v/>
      </c>
      <c r="L17" s="35" t="str">
        <f aca="false">IF(B17="","",IFERROR(ROUND(AVERAGEIF('Belief Tracker'!$B$6:$B$65,B17,'Belief Tracker'!$C$6:$C$65),1),"-"))</f>
        <v/>
      </c>
    </row>
    <row r="18" customFormat="false" ht="27.75" hidden="false" customHeight="true" outlineLevel="0" collapsed="false">
      <c r="A18" s="30" t="n">
        <v>13</v>
      </c>
      <c r="B18" s="31"/>
      <c r="C18" s="31"/>
      <c r="D18" s="31"/>
      <c r="E18" s="31"/>
      <c r="F18" s="32"/>
      <c r="G18" s="32"/>
      <c r="H18" s="31"/>
      <c r="I18" s="31"/>
      <c r="J18" s="33" t="str">
        <f aca="false">IF(B18="","",COUNTIF('Actions Tracker'!$D$6:$D$25,B18))</f>
        <v/>
      </c>
      <c r="K18" s="34" t="str">
        <f aca="false">IF(B18="","",IFERROR(AVERAGEIF('Actions Tracker'!$D$6:$D$25,B18,'Actions Tracker'!$AL$6:$AL$25),"-"))</f>
        <v/>
      </c>
      <c r="L18" s="35" t="str">
        <f aca="false">IF(B18="","",IFERROR(ROUND(AVERAGEIF('Belief Tracker'!$B$6:$B$65,B18,'Belief Tracker'!$C$6:$C$65),1),"-"))</f>
        <v/>
      </c>
    </row>
    <row r="19" customFormat="false" ht="27.75" hidden="false" customHeight="true" outlineLevel="0" collapsed="false">
      <c r="A19" s="30" t="n">
        <v>14</v>
      </c>
      <c r="B19" s="31"/>
      <c r="C19" s="31"/>
      <c r="D19" s="31"/>
      <c r="E19" s="31"/>
      <c r="F19" s="32"/>
      <c r="G19" s="32"/>
      <c r="H19" s="31"/>
      <c r="I19" s="31"/>
      <c r="J19" s="33" t="str">
        <f aca="false">IF(B19="","",COUNTIF('Actions Tracker'!$D$6:$D$25,B19))</f>
        <v/>
      </c>
      <c r="K19" s="34" t="str">
        <f aca="false">IF(B19="","",IFERROR(AVERAGEIF('Actions Tracker'!$D$6:$D$25,B19,'Actions Tracker'!$AL$6:$AL$25),"-"))</f>
        <v/>
      </c>
      <c r="L19" s="35" t="str">
        <f aca="false">IF(B19="","",IFERROR(ROUND(AVERAGEIF('Belief Tracker'!$B$6:$B$65,B19,'Belief Tracker'!$C$6:$C$65),1),"-"))</f>
        <v/>
      </c>
    </row>
    <row r="20" customFormat="false" ht="27.75" hidden="false" customHeight="true" outlineLevel="0" collapsed="false">
      <c r="A20" s="30" t="n">
        <v>15</v>
      </c>
      <c r="B20" s="31"/>
      <c r="C20" s="31"/>
      <c r="D20" s="31"/>
      <c r="E20" s="31"/>
      <c r="F20" s="32"/>
      <c r="G20" s="32"/>
      <c r="H20" s="31"/>
      <c r="I20" s="31"/>
      <c r="J20" s="33" t="str">
        <f aca="false">IF(B20="","",COUNTIF('Actions Tracker'!$D$6:$D$25,B20))</f>
        <v/>
      </c>
      <c r="K20" s="34" t="str">
        <f aca="false">IF(B20="","",IFERROR(AVERAGEIF('Actions Tracker'!$D$6:$D$25,B20,'Actions Tracker'!$AL$6:$AL$25),"-"))</f>
        <v/>
      </c>
      <c r="L20" s="35" t="str">
        <f aca="false">IF(B20="","",IFERROR(ROUND(AVERAGEIF('Belief Tracker'!$B$6:$B$65,B20,'Belief Tracker'!$C$6:$C$65),1),"-"))</f>
        <v/>
      </c>
    </row>
    <row r="21" customFormat="false" ht="27.75" hidden="false" customHeight="true" outlineLevel="0" collapsed="false">
      <c r="A21" s="30" t="n">
        <v>16</v>
      </c>
      <c r="B21" s="31"/>
      <c r="C21" s="31"/>
      <c r="D21" s="31"/>
      <c r="E21" s="31"/>
      <c r="F21" s="32"/>
      <c r="G21" s="32"/>
      <c r="H21" s="31"/>
      <c r="I21" s="31"/>
      <c r="J21" s="33" t="str">
        <f aca="false">IF(B21="","",COUNTIF('Actions Tracker'!$D$6:$D$25,B21))</f>
        <v/>
      </c>
      <c r="K21" s="34" t="str">
        <f aca="false">IF(B21="","",IFERROR(AVERAGEIF('Actions Tracker'!$D$6:$D$25,B21,'Actions Tracker'!$AL$6:$AL$25),"-"))</f>
        <v/>
      </c>
      <c r="L21" s="35" t="str">
        <f aca="false">IF(B21="","",IFERROR(ROUND(AVERAGEIF('Belief Tracker'!$B$6:$B$65,B21,'Belief Tracker'!$C$6:$C$65),1),"-"))</f>
        <v/>
      </c>
    </row>
    <row r="22" customFormat="false" ht="27.75" hidden="false" customHeight="true" outlineLevel="0" collapsed="false">
      <c r="A22" s="30" t="n">
        <v>17</v>
      </c>
      <c r="B22" s="31"/>
      <c r="C22" s="31"/>
      <c r="D22" s="31"/>
      <c r="E22" s="31"/>
      <c r="F22" s="32"/>
      <c r="G22" s="32"/>
      <c r="H22" s="31"/>
      <c r="I22" s="31"/>
      <c r="J22" s="33" t="str">
        <f aca="false">IF(B22="","",COUNTIF('Actions Tracker'!$D$6:$D$25,B22))</f>
        <v/>
      </c>
      <c r="K22" s="34" t="str">
        <f aca="false">IF(B22="","",IFERROR(AVERAGEIF('Actions Tracker'!$D$6:$D$25,B22,'Actions Tracker'!$AL$6:$AL$25),"-"))</f>
        <v/>
      </c>
      <c r="L22" s="35" t="str">
        <f aca="false">IF(B22="","",IFERROR(ROUND(AVERAGEIF('Belief Tracker'!$B$6:$B$65,B22,'Belief Tracker'!$C$6:$C$65),1),"-"))</f>
        <v/>
      </c>
    </row>
    <row r="23" customFormat="false" ht="27.75" hidden="false" customHeight="true" outlineLevel="0" collapsed="false">
      <c r="A23" s="30" t="n">
        <v>18</v>
      </c>
      <c r="B23" s="31"/>
      <c r="C23" s="31"/>
      <c r="D23" s="31"/>
      <c r="E23" s="31"/>
      <c r="F23" s="32"/>
      <c r="G23" s="32"/>
      <c r="H23" s="31"/>
      <c r="I23" s="31"/>
      <c r="J23" s="33" t="str">
        <f aca="false">IF(B23="","",COUNTIF('Actions Tracker'!$D$6:$D$25,B23))</f>
        <v/>
      </c>
      <c r="K23" s="34" t="str">
        <f aca="false">IF(B23="","",IFERROR(AVERAGEIF('Actions Tracker'!$D$6:$D$25,B23,'Actions Tracker'!$AL$6:$AL$25),"-"))</f>
        <v/>
      </c>
      <c r="L23" s="35" t="str">
        <f aca="false">IF(B23="","",IFERROR(ROUND(AVERAGEIF('Belief Tracker'!$B$6:$B$65,B23,'Belief Tracker'!$C$6:$C$65),1),"-"))</f>
        <v/>
      </c>
    </row>
    <row r="24" customFormat="false" ht="27.75" hidden="false" customHeight="true" outlineLevel="0" collapsed="false">
      <c r="A24" s="30" t="n">
        <v>19</v>
      </c>
      <c r="B24" s="31"/>
      <c r="C24" s="31"/>
      <c r="D24" s="31"/>
      <c r="E24" s="31"/>
      <c r="F24" s="32"/>
      <c r="G24" s="32"/>
      <c r="H24" s="31"/>
      <c r="I24" s="31"/>
      <c r="J24" s="33" t="str">
        <f aca="false">IF(B24="","",COUNTIF('Actions Tracker'!$D$6:$D$25,B24))</f>
        <v/>
      </c>
      <c r="K24" s="34" t="str">
        <f aca="false">IF(B24="","",IFERROR(AVERAGEIF('Actions Tracker'!$D$6:$D$25,B24,'Actions Tracker'!$AL$6:$AL$25),"-"))</f>
        <v/>
      </c>
      <c r="L24" s="35" t="str">
        <f aca="false">IF(B24="","",IFERROR(ROUND(AVERAGEIF('Belief Tracker'!$B$6:$B$65,B24,'Belief Tracker'!$C$6:$C$65),1),"-"))</f>
        <v/>
      </c>
    </row>
    <row r="25" customFormat="false" ht="27.75" hidden="false" customHeight="true" outlineLevel="0" collapsed="false">
      <c r="A25" s="30" t="n">
        <v>20</v>
      </c>
      <c r="B25" s="31"/>
      <c r="C25" s="31"/>
      <c r="D25" s="31"/>
      <c r="E25" s="31"/>
      <c r="F25" s="32"/>
      <c r="G25" s="32"/>
      <c r="H25" s="31"/>
      <c r="I25" s="31"/>
      <c r="J25" s="33" t="str">
        <f aca="false">IF(B25="","",COUNTIF('Actions Tracker'!$D$6:$D$25,B25))</f>
        <v/>
      </c>
      <c r="K25" s="34" t="str">
        <f aca="false">IF(B25="","",IFERROR(AVERAGEIF('Actions Tracker'!$D$6:$D$25,B25,'Actions Tracker'!$AL$6:$AL$25),"-"))</f>
        <v/>
      </c>
      <c r="L25" s="35" t="str">
        <f aca="false">IF(B25="","",IFERROR(ROUND(AVERAGEIF('Belief Tracker'!$B$6:$B$65,B25,'Belief Tracker'!$C$6:$C$65),1),"-"))</f>
        <v/>
      </c>
    </row>
    <row r="26" customFormat="false" ht="27.75" hidden="false" customHeight="true" outlineLevel="0" collapsed="false">
      <c r="A26" s="30" t="n">
        <v>21</v>
      </c>
      <c r="B26" s="31"/>
      <c r="C26" s="31"/>
      <c r="D26" s="31"/>
      <c r="E26" s="31"/>
      <c r="F26" s="32"/>
      <c r="G26" s="32"/>
      <c r="H26" s="31"/>
      <c r="I26" s="31"/>
      <c r="J26" s="33" t="str">
        <f aca="false">IF(B26="","",COUNTIF('Actions Tracker'!$D$6:$D$25,B26))</f>
        <v/>
      </c>
      <c r="K26" s="34" t="str">
        <f aca="false">IF(B26="","",IFERROR(AVERAGEIF('Actions Tracker'!$D$6:$D$25,B26,'Actions Tracker'!$AL$6:$AL$25),"-"))</f>
        <v/>
      </c>
      <c r="L26" s="35" t="str">
        <f aca="false">IF(B26="","",IFERROR(ROUND(AVERAGEIF('Belief Tracker'!$B$6:$B$65,B26,'Belief Tracker'!$C$6:$C$65),1),"-"))</f>
        <v/>
      </c>
    </row>
    <row r="27" customFormat="false" ht="27.75" hidden="false" customHeight="true" outlineLevel="0" collapsed="false">
      <c r="A27" s="30" t="n">
        <v>22</v>
      </c>
      <c r="B27" s="31"/>
      <c r="C27" s="31"/>
      <c r="D27" s="31"/>
      <c r="E27" s="31"/>
      <c r="F27" s="32"/>
      <c r="G27" s="32"/>
      <c r="H27" s="31"/>
      <c r="I27" s="31"/>
      <c r="J27" s="33" t="str">
        <f aca="false">IF(B27="","",COUNTIF('Actions Tracker'!$D$6:$D$25,B27))</f>
        <v/>
      </c>
      <c r="K27" s="34" t="str">
        <f aca="false">IF(B27="","",IFERROR(AVERAGEIF('Actions Tracker'!$D$6:$D$25,B27,'Actions Tracker'!$AL$6:$AL$25),"-"))</f>
        <v/>
      </c>
      <c r="L27" s="35" t="str">
        <f aca="false">IF(B27="","",IFERROR(ROUND(AVERAGEIF('Belief Tracker'!$B$6:$B$65,B27,'Belief Tracker'!$C$6:$C$65),1),"-"))</f>
        <v/>
      </c>
    </row>
    <row r="28" customFormat="false" ht="27.75" hidden="false" customHeight="true" outlineLevel="0" collapsed="false">
      <c r="A28" s="30" t="n">
        <v>23</v>
      </c>
      <c r="B28" s="31"/>
      <c r="C28" s="31"/>
      <c r="D28" s="31"/>
      <c r="E28" s="31"/>
      <c r="F28" s="32"/>
      <c r="G28" s="32"/>
      <c r="H28" s="31"/>
      <c r="I28" s="31"/>
      <c r="J28" s="33" t="str">
        <f aca="false">IF(B28="","",COUNTIF('Actions Tracker'!$D$6:$D$25,B28))</f>
        <v/>
      </c>
      <c r="K28" s="34" t="str">
        <f aca="false">IF(B28="","",IFERROR(AVERAGEIF('Actions Tracker'!$D$6:$D$25,B28,'Actions Tracker'!$AL$6:$AL$25),"-"))</f>
        <v/>
      </c>
      <c r="L28" s="35" t="str">
        <f aca="false">IF(B28="","",IFERROR(ROUND(AVERAGEIF('Belief Tracker'!$B$6:$B$65,B28,'Belief Tracker'!$C$6:$C$65),1),"-"))</f>
        <v/>
      </c>
    </row>
    <row r="29" customFormat="false" ht="27.75" hidden="false" customHeight="true" outlineLevel="0" collapsed="false">
      <c r="A29" s="30" t="n">
        <v>24</v>
      </c>
      <c r="B29" s="31"/>
      <c r="C29" s="31"/>
      <c r="D29" s="31"/>
      <c r="E29" s="31"/>
      <c r="F29" s="32"/>
      <c r="G29" s="32"/>
      <c r="H29" s="31"/>
      <c r="I29" s="31"/>
      <c r="J29" s="33" t="str">
        <f aca="false">IF(B29="","",COUNTIF('Actions Tracker'!$D$6:$D$25,B29))</f>
        <v/>
      </c>
      <c r="K29" s="34" t="str">
        <f aca="false">IF(B29="","",IFERROR(AVERAGEIF('Actions Tracker'!$D$6:$D$25,B29,'Actions Tracker'!$AL$6:$AL$25),"-"))</f>
        <v/>
      </c>
      <c r="L29" s="35" t="str">
        <f aca="false">IF(B29="","",IFERROR(ROUND(AVERAGEIF('Belief Tracker'!$B$6:$B$65,B29,'Belief Tracker'!$C$6:$C$65),1),"-"))</f>
        <v/>
      </c>
    </row>
    <row r="30" customFormat="false" ht="27.75" hidden="false" customHeight="true" outlineLevel="0" collapsed="false">
      <c r="A30" s="30" t="n">
        <v>25</v>
      </c>
      <c r="B30" s="31"/>
      <c r="C30" s="31"/>
      <c r="D30" s="31"/>
      <c r="E30" s="31"/>
      <c r="F30" s="32"/>
      <c r="G30" s="32"/>
      <c r="H30" s="31"/>
      <c r="I30" s="31"/>
      <c r="J30" s="33" t="str">
        <f aca="false">IF(B30="","",COUNTIF('Actions Tracker'!$D$6:$D$25,B30))</f>
        <v/>
      </c>
      <c r="K30" s="34" t="str">
        <f aca="false">IF(B30="","",IFERROR(AVERAGEIF('Actions Tracker'!$D$6:$D$25,B30,'Actions Tracker'!$AL$6:$AL$25),"-"))</f>
        <v/>
      </c>
      <c r="L30" s="35" t="str">
        <f aca="false">IF(B30="","",IFERROR(ROUND(AVERAGEIF('Belief Tracker'!$B$6:$B$65,B30,'Belief Tracker'!$C$6:$C$65),1),"-"))</f>
        <v/>
      </c>
    </row>
    <row r="31" customFormat="false" ht="27.75" hidden="false" customHeight="true" outlineLevel="0" collapsed="false">
      <c r="A31" s="30" t="n">
        <v>26</v>
      </c>
      <c r="B31" s="31"/>
      <c r="C31" s="31"/>
      <c r="D31" s="31"/>
      <c r="E31" s="31"/>
      <c r="F31" s="32"/>
      <c r="G31" s="32"/>
      <c r="H31" s="31"/>
      <c r="I31" s="31"/>
      <c r="J31" s="33" t="str">
        <f aca="false">IF(B31="","",COUNTIF('Actions Tracker'!$D$6:$D$25,B31))</f>
        <v/>
      </c>
      <c r="K31" s="34" t="str">
        <f aca="false">IF(B31="","",IFERROR(AVERAGEIF('Actions Tracker'!$D$6:$D$25,B31,'Actions Tracker'!$AL$6:$AL$25),"-"))</f>
        <v/>
      </c>
      <c r="L31" s="35" t="str">
        <f aca="false">IF(B31="","",IFERROR(ROUND(AVERAGEIF('Belief Tracker'!$B$6:$B$65,B31,'Belief Tracker'!$C$6:$C$65),1),"-"))</f>
        <v/>
      </c>
    </row>
    <row r="32" customFormat="false" ht="27.75" hidden="false" customHeight="true" outlineLevel="0" collapsed="false">
      <c r="A32" s="30" t="n">
        <v>27</v>
      </c>
      <c r="B32" s="31"/>
      <c r="C32" s="31"/>
      <c r="D32" s="31"/>
      <c r="E32" s="31"/>
      <c r="F32" s="32"/>
      <c r="G32" s="32"/>
      <c r="H32" s="31"/>
      <c r="I32" s="31"/>
      <c r="J32" s="33" t="str">
        <f aca="false">IF(B32="","",COUNTIF('Actions Tracker'!$D$6:$D$25,B32))</f>
        <v/>
      </c>
      <c r="K32" s="34" t="str">
        <f aca="false">IF(B32="","",IFERROR(AVERAGEIF('Actions Tracker'!$D$6:$D$25,B32,'Actions Tracker'!$AL$6:$AL$25),"-"))</f>
        <v/>
      </c>
      <c r="L32" s="35" t="str">
        <f aca="false">IF(B32="","",IFERROR(ROUND(AVERAGEIF('Belief Tracker'!$B$6:$B$65,B32,'Belief Tracker'!$C$6:$C$65),1),"-"))</f>
        <v/>
      </c>
    </row>
    <row r="33" customFormat="false" ht="27.75" hidden="false" customHeight="true" outlineLevel="0" collapsed="false">
      <c r="A33" s="30" t="n">
        <v>28</v>
      </c>
      <c r="B33" s="31"/>
      <c r="C33" s="31"/>
      <c r="D33" s="31"/>
      <c r="E33" s="31"/>
      <c r="F33" s="32"/>
      <c r="G33" s="32"/>
      <c r="H33" s="31"/>
      <c r="I33" s="31"/>
      <c r="J33" s="33" t="str">
        <f aca="false">IF(B33="","",COUNTIF('Actions Tracker'!$D$6:$D$25,B33))</f>
        <v/>
      </c>
      <c r="K33" s="34" t="str">
        <f aca="false">IF(B33="","",IFERROR(AVERAGEIF('Actions Tracker'!$D$6:$D$25,B33,'Actions Tracker'!$AL$6:$AL$25),"-"))</f>
        <v/>
      </c>
      <c r="L33" s="35" t="str">
        <f aca="false">IF(B33="","",IFERROR(ROUND(AVERAGEIF('Belief Tracker'!$B$6:$B$65,B33,'Belief Tracker'!$C$6:$C$65),1),"-"))</f>
        <v/>
      </c>
    </row>
    <row r="34" customFormat="false" ht="27.75" hidden="false" customHeight="true" outlineLevel="0" collapsed="false">
      <c r="A34" s="30" t="n">
        <v>29</v>
      </c>
      <c r="B34" s="31"/>
      <c r="C34" s="31"/>
      <c r="D34" s="31"/>
      <c r="E34" s="31"/>
      <c r="F34" s="32"/>
      <c r="G34" s="32"/>
      <c r="H34" s="31"/>
      <c r="I34" s="31"/>
      <c r="J34" s="33" t="str">
        <f aca="false">IF(B34="","",COUNTIF('Actions Tracker'!$D$6:$D$25,B34))</f>
        <v/>
      </c>
      <c r="K34" s="34" t="str">
        <f aca="false">IF(B34="","",IFERROR(AVERAGEIF('Actions Tracker'!$D$6:$D$25,B34,'Actions Tracker'!$AL$6:$AL$25),"-"))</f>
        <v/>
      </c>
      <c r="L34" s="35" t="str">
        <f aca="false">IF(B34="","",IFERROR(ROUND(AVERAGEIF('Belief Tracker'!$B$6:$B$65,B34,'Belief Tracker'!$C$6:$C$65),1),"-"))</f>
        <v/>
      </c>
    </row>
    <row r="35" customFormat="false" ht="27.75" hidden="false" customHeight="true" outlineLevel="0" collapsed="false">
      <c r="A35" s="30" t="n">
        <v>30</v>
      </c>
      <c r="B35" s="31"/>
      <c r="C35" s="31"/>
      <c r="D35" s="31"/>
      <c r="E35" s="31"/>
      <c r="F35" s="32"/>
      <c r="G35" s="32"/>
      <c r="H35" s="31"/>
      <c r="I35" s="31"/>
      <c r="J35" s="33" t="str">
        <f aca="false">IF(B35="","",COUNTIF('Actions Tracker'!$D$6:$D$25,B35))</f>
        <v/>
      </c>
      <c r="K35" s="34" t="str">
        <f aca="false">IF(B35="","",IFERROR(AVERAGEIF('Actions Tracker'!$D$6:$D$25,B35,'Actions Tracker'!$AL$6:$AL$25),"-"))</f>
        <v/>
      </c>
      <c r="L35" s="35" t="str">
        <f aca="false">IF(B35="","",IFERROR(ROUND(AVERAGEIF('Belief Tracker'!$B$6:$B$65,B35,'Belief Tracker'!$C$6:$C$65),1),"-"))</f>
        <v/>
      </c>
    </row>
  </sheetData>
  <sheetProtection sheet="true" formatCells="false" formatColumns="false" formatRows="false" insertColumns="false" sort="false"/>
  <autoFilter ref="A5:L35"/>
  <mergeCells count="2">
    <mergeCell ref="A1:L2"/>
    <mergeCell ref="A3:L3"/>
  </mergeCells>
  <conditionalFormatting sqref="H6:H35">
    <cfRule type="cellIs" priority="2" operator="equal" aboveAverage="0" equalAverage="0" bottom="0" percent="0" rank="0" text="" dxfId="7">
      <formula>"Yes"</formula>
    </cfRule>
    <cfRule type="cellIs" priority="3" operator="equal" aboveAverage="0" equalAverage="0" bottom="0" percent="0" rank="0" text="" dxfId="8">
      <formula>"Yes"</formula>
    </cfRule>
    <cfRule type="cellIs" priority="4" operator="equal" aboveAverage="0" equalAverage="0" bottom="0" percent="0" rank="0" text="" dxfId="9">
      <formula>"No"</formula>
    </cfRule>
  </conditionalFormatting>
  <dataValidations count="3">
    <dataValidation allowBlank="true" errorStyle="stop" operator="between" showDropDown="false" showErrorMessage="false" showInputMessage="false" sqref="C6:C35" type="list">
      <formula1>Lists!$A$6:$A$20</formula1>
      <formula2>0</formula2>
    </dataValidation>
    <dataValidation allowBlank="true" errorStyle="stop" operator="between" showDropDown="false" showErrorMessage="false" showInputMessage="false" sqref="I6:I35" type="list">
      <formula1>Lists!$B$6:$B$20</formula1>
      <formula2>0</formula2>
    </dataValidation>
    <dataValidation allowBlank="true" errorStyle="stop" operator="between" showDropDown="false" showErrorMessage="false" showInputMessage="false" sqref="H6:H35" type="list">
      <formula1>"Yes,No"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L29"/>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7"/>
    <col collapsed="false" customWidth="true" hidden="false" outlineLevel="0" max="2" min="2" style="1" width="16"/>
    <col collapsed="false" customWidth="true" hidden="false" outlineLevel="0" max="3" min="3" style="1" width="14"/>
    <col collapsed="false" customWidth="true" hidden="false" outlineLevel="0" max="4" min="4" style="1" width="27"/>
    <col collapsed="false" customWidth="true" hidden="false" outlineLevel="0" max="35" min="5" style="1" width="11"/>
    <col collapsed="false" customWidth="true" hidden="false" outlineLevel="0" max="38" min="36" style="1" width="13"/>
  </cols>
  <sheetData>
    <row r="1" customFormat="false" ht="30" hidden="false" customHeight="true" outlineLevel="0" collapsed="false">
      <c r="A1" s="27" t="s">
        <v>48</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row>
    <row r="2" customFormat="false" ht="15.75" hidden="false" customHeight="true" outlineLevel="0" collapsed="false">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row>
    <row r="3" customFormat="false" ht="21.75" hidden="false" customHeight="true" outlineLevel="0" collapsed="false">
      <c r="A3" s="28" t="s">
        <v>49</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row>
    <row r="4" customFormat="false" ht="15" hidden="false" customHeight="true" outlineLevel="0" collapsed="false">
      <c r="A4" s="36" t="s">
        <v>50</v>
      </c>
      <c r="B4" s="37" t="n">
        <v>46266</v>
      </c>
    </row>
    <row r="5" customFormat="false" ht="30" hidden="false" customHeight="true" outlineLevel="0" collapsed="false">
      <c r="A5" s="29" t="s">
        <v>51</v>
      </c>
      <c r="B5" s="29" t="s">
        <v>38</v>
      </c>
      <c r="C5" s="29" t="s">
        <v>52</v>
      </c>
      <c r="D5" s="29" t="s">
        <v>37</v>
      </c>
      <c r="E5" s="38" t="n">
        <f aca="false">IF(MONTH($B$4+0)=MONTH($B$4),$B$4+0,"")</f>
        <v>46266</v>
      </c>
      <c r="F5" s="38" t="n">
        <f aca="false">IF(MONTH($B$4+1)=MONTH($B$4),$B$4+1,"")</f>
        <v>46267</v>
      </c>
      <c r="G5" s="38" t="n">
        <f aca="false">IF(MONTH($B$4+2)=MONTH($B$4),$B$4+2,"")</f>
        <v>46268</v>
      </c>
      <c r="H5" s="38" t="n">
        <f aca="false">IF(MONTH($B$4+3)=MONTH($B$4),$B$4+3,"")</f>
        <v>46269</v>
      </c>
      <c r="I5" s="38" t="n">
        <f aca="false">IF(MONTH($B$4+4)=MONTH($B$4),$B$4+4,"")</f>
        <v>46270</v>
      </c>
      <c r="J5" s="38" t="n">
        <f aca="false">IF(MONTH($B$4+5)=MONTH($B$4),$B$4+5,"")</f>
        <v>46271</v>
      </c>
      <c r="K5" s="38" t="n">
        <f aca="false">IF(MONTH($B$4+6)=MONTH($B$4),$B$4+6,"")</f>
        <v>46272</v>
      </c>
      <c r="L5" s="38" t="n">
        <f aca="false">IF(MONTH($B$4+7)=MONTH($B$4),$B$4+7,"")</f>
        <v>46273</v>
      </c>
      <c r="M5" s="38" t="n">
        <f aca="false">IF(MONTH($B$4+8)=MONTH($B$4),$B$4+8,"")</f>
        <v>46274</v>
      </c>
      <c r="N5" s="38" t="n">
        <f aca="false">IF(MONTH($B$4+9)=MONTH($B$4),$B$4+9,"")</f>
        <v>46275</v>
      </c>
      <c r="O5" s="38" t="n">
        <f aca="false">IF(MONTH($B$4+10)=MONTH($B$4),$B$4+10,"")</f>
        <v>46276</v>
      </c>
      <c r="P5" s="38" t="n">
        <f aca="false">IF(MONTH($B$4+11)=MONTH($B$4),$B$4+11,"")</f>
        <v>46277</v>
      </c>
      <c r="Q5" s="38" t="n">
        <f aca="false">IF(MONTH($B$4+12)=MONTH($B$4),$B$4+12,"")</f>
        <v>46278</v>
      </c>
      <c r="R5" s="38" t="n">
        <f aca="false">IF(MONTH($B$4+13)=MONTH($B$4),$B$4+13,"")</f>
        <v>46279</v>
      </c>
      <c r="S5" s="38" t="n">
        <f aca="false">IF(MONTH($B$4+14)=MONTH($B$4),$B$4+14,"")</f>
        <v>46280</v>
      </c>
      <c r="T5" s="38" t="n">
        <f aca="false">IF(MONTH($B$4+15)=MONTH($B$4),$B$4+15,"")</f>
        <v>46281</v>
      </c>
      <c r="U5" s="38" t="n">
        <f aca="false">IF(MONTH($B$4+16)=MONTH($B$4),$B$4+16,"")</f>
        <v>46282</v>
      </c>
      <c r="V5" s="38" t="n">
        <f aca="false">IF(MONTH($B$4+17)=MONTH($B$4),$B$4+17,"")</f>
        <v>46283</v>
      </c>
      <c r="W5" s="38" t="n">
        <f aca="false">IF(MONTH($B$4+18)=MONTH($B$4),$B$4+18,"")</f>
        <v>46284</v>
      </c>
      <c r="X5" s="38" t="n">
        <f aca="false">IF(MONTH($B$4+19)=MONTH($B$4),$B$4+19,"")</f>
        <v>46285</v>
      </c>
      <c r="Y5" s="38" t="n">
        <f aca="false">IF(MONTH($B$4+20)=MONTH($B$4),$B$4+20,"")</f>
        <v>46286</v>
      </c>
      <c r="Z5" s="38" t="n">
        <f aca="false">IF(MONTH($B$4+21)=MONTH($B$4),$B$4+21,"")</f>
        <v>46287</v>
      </c>
      <c r="AA5" s="38" t="n">
        <f aca="false">IF(MONTH($B$4+22)=MONTH($B$4),$B$4+22,"")</f>
        <v>46288</v>
      </c>
      <c r="AB5" s="38" t="n">
        <f aca="false">IF(MONTH($B$4+23)=MONTH($B$4),$B$4+23,"")</f>
        <v>46289</v>
      </c>
      <c r="AC5" s="38" t="n">
        <f aca="false">IF(MONTH($B$4+24)=MONTH($B$4),$B$4+24,"")</f>
        <v>46290</v>
      </c>
      <c r="AD5" s="38" t="n">
        <f aca="false">IF(MONTH($B$4+25)=MONTH($B$4),$B$4+25,"")</f>
        <v>46291</v>
      </c>
      <c r="AE5" s="38" t="n">
        <f aca="false">IF(MONTH($B$4+26)=MONTH($B$4),$B$4+26,"")</f>
        <v>46292</v>
      </c>
      <c r="AF5" s="38" t="n">
        <f aca="false">IF(MONTH($B$4+27)=MONTH($B$4),$B$4+27,"")</f>
        <v>46293</v>
      </c>
      <c r="AG5" s="38" t="n">
        <f aca="false">IF(MONTH($B$4+28)=MONTH($B$4),$B$4+28,"")</f>
        <v>46294</v>
      </c>
      <c r="AH5" s="38" t="n">
        <f aca="false">IF(MONTH($B$4+29)=MONTH($B$4),$B$4+29,"")</f>
        <v>46295</v>
      </c>
      <c r="AI5" s="38" t="str">
        <f aca="false">IF(MONTH($B$4+30)=MONTH($B$4),$B$4+30,"")</f>
        <v/>
      </c>
      <c r="AJ5" s="29" t="s">
        <v>24</v>
      </c>
      <c r="AK5" s="29" t="s">
        <v>25</v>
      </c>
      <c r="AL5" s="29" t="s">
        <v>53</v>
      </c>
    </row>
    <row r="6" customFormat="false" ht="15" hidden="false" customHeight="true" outlineLevel="0" collapsed="false">
      <c r="A6" s="31"/>
      <c r="B6" s="31"/>
      <c r="C6" s="31"/>
      <c r="D6" s="31"/>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3" t="n">
        <f aca="false">COUNTIF(E6:AI6,1)</f>
        <v>0</v>
      </c>
      <c r="AK6" s="33" t="n">
        <f aca="false">COUNTIF(E6:AI6,0)</f>
        <v>0</v>
      </c>
      <c r="AL6" s="34" t="str">
        <f aca="false">IF(COUNT(E6:AI6)=0,"-",AJ6/COUNT(E6:AI6))</f>
        <v>-</v>
      </c>
    </row>
    <row r="7" customFormat="false" ht="15" hidden="false" customHeight="true" outlineLevel="0" collapsed="false">
      <c r="A7" s="31"/>
      <c r="B7" s="31"/>
      <c r="C7" s="31"/>
      <c r="D7" s="31"/>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3" t="n">
        <f aca="false">COUNTIF(E7:AI7,1)</f>
        <v>0</v>
      </c>
      <c r="AK7" s="33" t="n">
        <f aca="false">COUNTIF(E7:AI7,0)</f>
        <v>0</v>
      </c>
      <c r="AL7" s="34" t="str">
        <f aca="false">IF(COUNT(E7:AI7)=0,"-",AJ7/COUNT(E7:AI7))</f>
        <v>-</v>
      </c>
    </row>
    <row r="8" customFormat="false" ht="15" hidden="false" customHeight="true" outlineLevel="0" collapsed="false">
      <c r="A8" s="31"/>
      <c r="B8" s="31"/>
      <c r="C8" s="31"/>
      <c r="D8" s="31"/>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3" t="n">
        <f aca="false">COUNTIF(E8:AI8,1)</f>
        <v>0</v>
      </c>
      <c r="AK8" s="33" t="n">
        <f aca="false">COUNTIF(E8:AI8,0)</f>
        <v>0</v>
      </c>
      <c r="AL8" s="34" t="str">
        <f aca="false">IF(COUNT(E8:AI8)=0,"-",AJ8/COUNT(E8:AI8))</f>
        <v>-</v>
      </c>
    </row>
    <row r="9" customFormat="false" ht="15" hidden="false" customHeight="true" outlineLevel="0" collapsed="false">
      <c r="A9" s="31"/>
      <c r="B9" s="31"/>
      <c r="C9" s="31"/>
      <c r="D9" s="31"/>
      <c r="E9" s="39"/>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3" t="n">
        <f aca="false">COUNTIF(E9:AI9,1)</f>
        <v>0</v>
      </c>
      <c r="AK9" s="33" t="n">
        <f aca="false">COUNTIF(E9:AI9,0)</f>
        <v>0</v>
      </c>
      <c r="AL9" s="34" t="str">
        <f aca="false">IF(COUNT(E9:AI9)=0,"-",AJ9/COUNT(E9:AI9))</f>
        <v>-</v>
      </c>
    </row>
    <row r="10" customFormat="false" ht="15" hidden="false" customHeight="true" outlineLevel="0" collapsed="false">
      <c r="A10" s="31"/>
      <c r="B10" s="31"/>
      <c r="C10" s="31"/>
      <c r="D10" s="31"/>
      <c r="E10" s="39"/>
      <c r="F10" s="39"/>
      <c r="G10" s="39"/>
      <c r="H10" s="39"/>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3" t="n">
        <f aca="false">COUNTIF(E10:AI10,1)</f>
        <v>0</v>
      </c>
      <c r="AK10" s="33" t="n">
        <f aca="false">COUNTIF(E10:AI10,0)</f>
        <v>0</v>
      </c>
      <c r="AL10" s="34" t="str">
        <f aca="false">IF(COUNT(E10:AI10)=0,"-",AJ10/COUNT(E10:AI10))</f>
        <v>-</v>
      </c>
    </row>
    <row r="11" customFormat="false" ht="15" hidden="false" customHeight="true" outlineLevel="0" collapsed="false">
      <c r="A11" s="31"/>
      <c r="B11" s="31"/>
      <c r="C11" s="31"/>
      <c r="D11" s="31"/>
      <c r="E11" s="39"/>
      <c r="F11" s="39"/>
      <c r="G11" s="39"/>
      <c r="H11" s="39"/>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3" t="n">
        <f aca="false">COUNTIF(E11:AI11,1)</f>
        <v>0</v>
      </c>
      <c r="AK11" s="33" t="n">
        <f aca="false">COUNTIF(E11:AI11,0)</f>
        <v>0</v>
      </c>
      <c r="AL11" s="34" t="str">
        <f aca="false">IF(COUNT(E11:AI11)=0,"-",AJ11/COUNT(E11:AI11))</f>
        <v>-</v>
      </c>
    </row>
    <row r="12" customFormat="false" ht="15" hidden="false" customHeight="true" outlineLevel="0" collapsed="false">
      <c r="A12" s="31"/>
      <c r="B12" s="31"/>
      <c r="C12" s="31"/>
      <c r="D12" s="31"/>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3" t="n">
        <f aca="false">COUNTIF(E12:AI12,1)</f>
        <v>0</v>
      </c>
      <c r="AK12" s="33" t="n">
        <f aca="false">COUNTIF(E12:AI12,0)</f>
        <v>0</v>
      </c>
      <c r="AL12" s="34" t="str">
        <f aca="false">IF(COUNT(E12:AI12)=0,"-",AJ12/COUNT(E12:AI12))</f>
        <v>-</v>
      </c>
    </row>
    <row r="13" customFormat="false" ht="15" hidden="false" customHeight="true" outlineLevel="0" collapsed="false">
      <c r="A13" s="31"/>
      <c r="B13" s="31"/>
      <c r="C13" s="31"/>
      <c r="D13" s="31"/>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3" t="n">
        <f aca="false">COUNTIF(E13:AI13,1)</f>
        <v>0</v>
      </c>
      <c r="AK13" s="33" t="n">
        <f aca="false">COUNTIF(E13:AI13,0)</f>
        <v>0</v>
      </c>
      <c r="AL13" s="34" t="str">
        <f aca="false">IF(COUNT(E13:AI13)=0,"-",AJ13/COUNT(E13:AI13))</f>
        <v>-</v>
      </c>
    </row>
    <row r="14" customFormat="false" ht="15" hidden="false" customHeight="true" outlineLevel="0" collapsed="false">
      <c r="A14" s="31"/>
      <c r="B14" s="31"/>
      <c r="C14" s="31"/>
      <c r="D14" s="31"/>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3" t="n">
        <f aca="false">COUNTIF(E14:AI14,1)</f>
        <v>0</v>
      </c>
      <c r="AK14" s="33" t="n">
        <f aca="false">COUNTIF(E14:AI14,0)</f>
        <v>0</v>
      </c>
      <c r="AL14" s="34" t="str">
        <f aca="false">IF(COUNT(E14:AI14)=0,"-",AJ14/COUNT(E14:AI14))</f>
        <v>-</v>
      </c>
    </row>
    <row r="15" customFormat="false" ht="15" hidden="false" customHeight="true" outlineLevel="0" collapsed="false">
      <c r="A15" s="31"/>
      <c r="B15" s="31"/>
      <c r="C15" s="31"/>
      <c r="D15" s="31"/>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3" t="n">
        <f aca="false">COUNTIF(E15:AI15,1)</f>
        <v>0</v>
      </c>
      <c r="AK15" s="33" t="n">
        <f aca="false">COUNTIF(E15:AI15,0)</f>
        <v>0</v>
      </c>
      <c r="AL15" s="34" t="str">
        <f aca="false">IF(COUNT(E15:AI15)=0,"-",AJ15/COUNT(E15:AI15))</f>
        <v>-</v>
      </c>
    </row>
    <row r="16" customFormat="false" ht="15" hidden="false" customHeight="true" outlineLevel="0" collapsed="false">
      <c r="A16" s="31"/>
      <c r="B16" s="31"/>
      <c r="C16" s="31"/>
      <c r="D16" s="31"/>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3" t="n">
        <f aca="false">COUNTIF(E16:AI16,1)</f>
        <v>0</v>
      </c>
      <c r="AK16" s="33" t="n">
        <f aca="false">COUNTIF(E16:AI16,0)</f>
        <v>0</v>
      </c>
      <c r="AL16" s="34" t="str">
        <f aca="false">IF(COUNT(E16:AI16)=0,"-",AJ16/COUNT(E16:AI16))</f>
        <v>-</v>
      </c>
    </row>
    <row r="17" customFormat="false" ht="15" hidden="false" customHeight="true" outlineLevel="0" collapsed="false">
      <c r="A17" s="31"/>
      <c r="B17" s="31"/>
      <c r="C17" s="31"/>
      <c r="D17" s="31"/>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3" t="n">
        <f aca="false">COUNTIF(E17:AI17,1)</f>
        <v>0</v>
      </c>
      <c r="AK17" s="33" t="n">
        <f aca="false">COUNTIF(E17:AI17,0)</f>
        <v>0</v>
      </c>
      <c r="AL17" s="34" t="str">
        <f aca="false">IF(COUNT(E17:AI17)=0,"-",AJ17/COUNT(E17:AI17))</f>
        <v>-</v>
      </c>
    </row>
    <row r="18" customFormat="false" ht="15" hidden="false" customHeight="true" outlineLevel="0" collapsed="false">
      <c r="A18" s="31"/>
      <c r="B18" s="31"/>
      <c r="C18" s="31"/>
      <c r="D18" s="31"/>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3" t="n">
        <f aca="false">COUNTIF(E18:AI18,1)</f>
        <v>0</v>
      </c>
      <c r="AK18" s="33" t="n">
        <f aca="false">COUNTIF(E18:AI18,0)</f>
        <v>0</v>
      </c>
      <c r="AL18" s="34" t="str">
        <f aca="false">IF(COUNT(E18:AI18)=0,"-",AJ18/COUNT(E18:AI18))</f>
        <v>-</v>
      </c>
    </row>
    <row r="19" customFormat="false" ht="15" hidden="false" customHeight="true" outlineLevel="0" collapsed="false">
      <c r="A19" s="31"/>
      <c r="B19" s="31"/>
      <c r="C19" s="31"/>
      <c r="D19" s="31"/>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3" t="n">
        <f aca="false">COUNTIF(E19:AI19,1)</f>
        <v>0</v>
      </c>
      <c r="AK19" s="33" t="n">
        <f aca="false">COUNTIF(E19:AI19,0)</f>
        <v>0</v>
      </c>
      <c r="AL19" s="34" t="str">
        <f aca="false">IF(COUNT(E19:AI19)=0,"-",AJ19/COUNT(E19:AI19))</f>
        <v>-</v>
      </c>
    </row>
    <row r="20" customFormat="false" ht="15" hidden="false" customHeight="true" outlineLevel="0" collapsed="false">
      <c r="A20" s="31"/>
      <c r="B20" s="31"/>
      <c r="C20" s="31"/>
      <c r="D20" s="31"/>
      <c r="E20" s="39"/>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3" t="n">
        <f aca="false">COUNTIF(E20:AI20,1)</f>
        <v>0</v>
      </c>
      <c r="AK20" s="33" t="n">
        <f aca="false">COUNTIF(E20:AI20,0)</f>
        <v>0</v>
      </c>
      <c r="AL20" s="34" t="str">
        <f aca="false">IF(COUNT(E20:AI20)=0,"-",AJ20/COUNT(E20:AI20))</f>
        <v>-</v>
      </c>
    </row>
    <row r="21" customFormat="false" ht="15" hidden="false" customHeight="true" outlineLevel="0" collapsed="false">
      <c r="A21" s="31"/>
      <c r="B21" s="31"/>
      <c r="C21" s="31"/>
      <c r="D21" s="31"/>
      <c r="E21" s="39"/>
      <c r="F21" s="39"/>
      <c r="G21" s="39"/>
      <c r="H21" s="39"/>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3" t="n">
        <f aca="false">COUNTIF(E21:AI21,1)</f>
        <v>0</v>
      </c>
      <c r="AK21" s="33" t="n">
        <f aca="false">COUNTIF(E21:AI21,0)</f>
        <v>0</v>
      </c>
      <c r="AL21" s="34" t="str">
        <f aca="false">IF(COUNT(E21:AI21)=0,"-",AJ21/COUNT(E21:AI21))</f>
        <v>-</v>
      </c>
    </row>
    <row r="22" customFormat="false" ht="15" hidden="false" customHeight="true" outlineLevel="0" collapsed="false">
      <c r="A22" s="31"/>
      <c r="B22" s="31"/>
      <c r="C22" s="31"/>
      <c r="D22" s="31"/>
      <c r="E22" s="39"/>
      <c r="F22" s="39"/>
      <c r="G22" s="39"/>
      <c r="H22" s="39"/>
      <c r="I22" s="39"/>
      <c r="J22" s="39"/>
      <c r="K22" s="39"/>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3" t="n">
        <f aca="false">COUNTIF(E22:AI22,1)</f>
        <v>0</v>
      </c>
      <c r="AK22" s="33" t="n">
        <f aca="false">COUNTIF(E22:AI22,0)</f>
        <v>0</v>
      </c>
      <c r="AL22" s="34" t="str">
        <f aca="false">IF(COUNT(E22:AI22)=0,"-",AJ22/COUNT(E22:AI22))</f>
        <v>-</v>
      </c>
    </row>
    <row r="23" customFormat="false" ht="15" hidden="false" customHeight="true" outlineLevel="0" collapsed="false">
      <c r="A23" s="31"/>
      <c r="B23" s="31"/>
      <c r="C23" s="31"/>
      <c r="D23" s="31"/>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3" t="n">
        <f aca="false">COUNTIF(E23:AI23,1)</f>
        <v>0</v>
      </c>
      <c r="AK23" s="33" t="n">
        <f aca="false">COUNTIF(E23:AI23,0)</f>
        <v>0</v>
      </c>
      <c r="AL23" s="34" t="str">
        <f aca="false">IF(COUNT(E23:AI23)=0,"-",AJ23/COUNT(E23:AI23))</f>
        <v>-</v>
      </c>
    </row>
    <row r="24" customFormat="false" ht="15" hidden="false" customHeight="true" outlineLevel="0" collapsed="false">
      <c r="A24" s="31"/>
      <c r="B24" s="31"/>
      <c r="C24" s="31"/>
      <c r="D24" s="31"/>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3" t="n">
        <f aca="false">COUNTIF(E24:AI24,1)</f>
        <v>0</v>
      </c>
      <c r="AK24" s="33" t="n">
        <f aca="false">COUNTIF(E24:AI24,0)</f>
        <v>0</v>
      </c>
      <c r="AL24" s="34" t="str">
        <f aca="false">IF(COUNT(E24:AI24)=0,"-",AJ24/COUNT(E24:AI24))</f>
        <v>-</v>
      </c>
    </row>
    <row r="25" customFormat="false" ht="15" hidden="false" customHeight="true" outlineLevel="0" collapsed="false">
      <c r="A25" s="31"/>
      <c r="B25" s="31"/>
      <c r="C25" s="31"/>
      <c r="D25" s="31"/>
      <c r="E25" s="39"/>
      <c r="F25" s="39"/>
      <c r="G25" s="39"/>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3" t="n">
        <f aca="false">COUNTIF(E25:AI25,1)</f>
        <v>0</v>
      </c>
      <c r="AK25" s="33" t="n">
        <f aca="false">COUNTIF(E25:AI25,0)</f>
        <v>0</v>
      </c>
      <c r="AL25" s="34" t="str">
        <f aca="false">IF(COUNT(E25:AI25)=0,"-",AJ25/COUNT(E25:AI25))</f>
        <v>-</v>
      </c>
    </row>
    <row r="27" customFormat="false" ht="15" hidden="false" customHeight="true" outlineLevel="0" collapsed="false">
      <c r="A27" s="40" t="s">
        <v>54</v>
      </c>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2" t="n">
        <f aca="false">SUM(AJ6:AJ25)</f>
        <v>0</v>
      </c>
      <c r="AK27" s="42" t="n">
        <f aca="false">SUM(AK6:AK25)</f>
        <v>0</v>
      </c>
      <c r="AL27" s="43" t="str">
        <f aca="false">IF(AJ27+AK27=0,"-",AJ27/(AJ27+AK27))</f>
        <v>-</v>
      </c>
    </row>
    <row r="28" customFormat="false" ht="15" hidden="true" customHeight="true" outlineLevel="0" collapsed="false">
      <c r="A28" s="1" t="s">
        <v>55</v>
      </c>
      <c r="E28" s="44" t="str">
        <f aca="false">IF(COUNT(E6:E25)=0,"-",COUNTIF(E6:E25,1)/COUNT(E6:E25))</f>
        <v>-</v>
      </c>
      <c r="F28" s="44" t="str">
        <f aca="false">IF(COUNT(F6:F25)=0,"-",COUNTIF(F6:F25,1)/COUNT(F6:F25))</f>
        <v>-</v>
      </c>
      <c r="G28" s="44" t="str">
        <f aca="false">IF(COUNT(G6:G25)=0,"-",COUNTIF(G6:G25,1)/COUNT(G6:G25))</f>
        <v>-</v>
      </c>
      <c r="H28" s="44" t="str">
        <f aca="false">IF(COUNT(H6:H25)=0,"-",COUNTIF(H6:H25,1)/COUNT(H6:H25))</f>
        <v>-</v>
      </c>
      <c r="I28" s="44" t="str">
        <f aca="false">IF(COUNT(I6:I25)=0,"-",COUNTIF(I6:I25,1)/COUNT(I6:I25))</f>
        <v>-</v>
      </c>
      <c r="J28" s="44" t="str">
        <f aca="false">IF(COUNT(J6:J25)=0,"-",COUNTIF(J6:J25,1)/COUNT(J6:J25))</f>
        <v>-</v>
      </c>
      <c r="K28" s="44" t="str">
        <f aca="false">IF(COUNT(K6:K25)=0,"-",COUNTIF(K6:K25,1)/COUNT(K6:K25))</f>
        <v>-</v>
      </c>
      <c r="L28" s="44" t="str">
        <f aca="false">IF(COUNT(L6:L25)=0,"-",COUNTIF(L6:L25,1)/COUNT(L6:L25))</f>
        <v>-</v>
      </c>
      <c r="M28" s="44" t="str">
        <f aca="false">IF(COUNT(M6:M25)=0,"-",COUNTIF(M6:M25,1)/COUNT(M6:M25))</f>
        <v>-</v>
      </c>
      <c r="N28" s="44" t="str">
        <f aca="false">IF(COUNT(N6:N25)=0,"-",COUNTIF(N6:N25,1)/COUNT(N6:N25))</f>
        <v>-</v>
      </c>
      <c r="O28" s="44" t="str">
        <f aca="false">IF(COUNT(O6:O25)=0,"-",COUNTIF(O6:O25,1)/COUNT(O6:O25))</f>
        <v>-</v>
      </c>
      <c r="P28" s="44" t="str">
        <f aca="false">IF(COUNT(P6:P25)=0,"-",COUNTIF(P6:P25,1)/COUNT(P6:P25))</f>
        <v>-</v>
      </c>
      <c r="Q28" s="44" t="str">
        <f aca="false">IF(COUNT(Q6:Q25)=0,"-",COUNTIF(Q6:Q25,1)/COUNT(Q6:Q25))</f>
        <v>-</v>
      </c>
      <c r="R28" s="44" t="str">
        <f aca="false">IF(COUNT(R6:R25)=0,"-",COUNTIF(R6:R25,1)/COUNT(R6:R25))</f>
        <v>-</v>
      </c>
      <c r="S28" s="44" t="str">
        <f aca="false">IF(COUNT(S6:S25)=0,"-",COUNTIF(S6:S25,1)/COUNT(S6:S25))</f>
        <v>-</v>
      </c>
      <c r="T28" s="44" t="str">
        <f aca="false">IF(COUNT(T6:T25)=0,"-",COUNTIF(T6:T25,1)/COUNT(T6:T25))</f>
        <v>-</v>
      </c>
      <c r="U28" s="44" t="str">
        <f aca="false">IF(COUNT(U6:U25)=0,"-",COUNTIF(U6:U25,1)/COUNT(U6:U25))</f>
        <v>-</v>
      </c>
      <c r="V28" s="44" t="str">
        <f aca="false">IF(COUNT(V6:V25)=0,"-",COUNTIF(V6:V25,1)/COUNT(V6:V25))</f>
        <v>-</v>
      </c>
      <c r="W28" s="44" t="str">
        <f aca="false">IF(COUNT(W6:W25)=0,"-",COUNTIF(W6:W25,1)/COUNT(W6:W25))</f>
        <v>-</v>
      </c>
      <c r="X28" s="44" t="str">
        <f aca="false">IF(COUNT(X6:X25)=0,"-",COUNTIF(X6:X25,1)/COUNT(X6:X25))</f>
        <v>-</v>
      </c>
      <c r="Y28" s="44" t="str">
        <f aca="false">IF(COUNT(Y6:Y25)=0,"-",COUNTIF(Y6:Y25,1)/COUNT(Y6:Y25))</f>
        <v>-</v>
      </c>
      <c r="Z28" s="44" t="str">
        <f aca="false">IF(COUNT(Z6:Z25)=0,"-",COUNTIF(Z6:Z25,1)/COUNT(Z6:Z25))</f>
        <v>-</v>
      </c>
      <c r="AA28" s="44" t="str">
        <f aca="false">IF(COUNT(AA6:AA25)=0,"-",COUNTIF(AA6:AA25,1)/COUNT(AA6:AA25))</f>
        <v>-</v>
      </c>
      <c r="AB28" s="44" t="str">
        <f aca="false">IF(COUNT(AB6:AB25)=0,"-",COUNTIF(AB6:AB25,1)/COUNT(AB6:AB25))</f>
        <v>-</v>
      </c>
      <c r="AC28" s="44" t="str">
        <f aca="false">IF(COUNT(AC6:AC25)=0,"-",COUNTIF(AC6:AC25,1)/COUNT(AC6:AC25))</f>
        <v>-</v>
      </c>
      <c r="AD28" s="44" t="str">
        <f aca="false">IF(COUNT(AD6:AD25)=0,"-",COUNTIF(AD6:AD25,1)/COUNT(AD6:AD25))</f>
        <v>-</v>
      </c>
      <c r="AE28" s="44" t="str">
        <f aca="false">IF(COUNT(AE6:AE25)=0,"-",COUNTIF(AE6:AE25,1)/COUNT(AE6:AE25))</f>
        <v>-</v>
      </c>
      <c r="AF28" s="44" t="str">
        <f aca="false">IF(COUNT(AF6:AF25)=0,"-",COUNTIF(AF6:AF25,1)/COUNT(AF6:AF25))</f>
        <v>-</v>
      </c>
      <c r="AG28" s="44" t="str">
        <f aca="false">IF(COUNT(AG6:AG25)=0,"-",COUNTIF(AG6:AG25,1)/COUNT(AG6:AG25))</f>
        <v>-</v>
      </c>
      <c r="AH28" s="44" t="str">
        <f aca="false">IF(COUNT(AH6:AH25)=0,"-",COUNTIF(AH6:AH25,1)/COUNT(AH6:AH25))</f>
        <v>-</v>
      </c>
      <c r="AI28" s="44" t="str">
        <f aca="false">IF(COUNT(AI6:AI25)=0,"-",COUNTIF(AI6:AI25,1)/COUNT(AI6:AI25))</f>
        <v>-</v>
      </c>
    </row>
    <row r="29" customFormat="false" ht="15" hidden="true" customHeight="true" outlineLevel="0" collapsed="false">
      <c r="A29" s="1" t="s">
        <v>56</v>
      </c>
      <c r="E29" s="45" t="str">
        <f aca="false">IF(E28="-","",IF(E28=1,1,0))</f>
        <v/>
      </c>
      <c r="F29" s="45" t="str">
        <f aca="false">IF(F28="-","",IF(F28=1,E29+1,0))</f>
        <v/>
      </c>
      <c r="G29" s="45" t="str">
        <f aca="false">IF(G28="-","",IF(G28=1,F29+1,0))</f>
        <v/>
      </c>
      <c r="H29" s="45" t="str">
        <f aca="false">IF(H28="-","",IF(H28=1,G29+1,0))</f>
        <v/>
      </c>
      <c r="I29" s="45" t="str">
        <f aca="false">IF(I28="-","",IF(I28=1,H29+1,0))</f>
        <v/>
      </c>
      <c r="J29" s="45" t="str">
        <f aca="false">IF(J28="-","",IF(J28=1,I29+1,0))</f>
        <v/>
      </c>
      <c r="K29" s="45" t="str">
        <f aca="false">IF(K28="-","",IF(K28=1,J29+1,0))</f>
        <v/>
      </c>
      <c r="L29" s="45" t="str">
        <f aca="false">IF(L28="-","",IF(L28=1,K29+1,0))</f>
        <v/>
      </c>
      <c r="M29" s="45" t="str">
        <f aca="false">IF(M28="-","",IF(M28=1,L29+1,0))</f>
        <v/>
      </c>
      <c r="N29" s="45" t="str">
        <f aca="false">IF(N28="-","",IF(N28=1,M29+1,0))</f>
        <v/>
      </c>
      <c r="O29" s="45" t="str">
        <f aca="false">IF(O28="-","",IF(O28=1,N29+1,0))</f>
        <v/>
      </c>
      <c r="P29" s="45" t="str">
        <f aca="false">IF(P28="-","",IF(P28=1,O29+1,0))</f>
        <v/>
      </c>
      <c r="Q29" s="45" t="str">
        <f aca="false">IF(Q28="-","",IF(Q28=1,P29+1,0))</f>
        <v/>
      </c>
      <c r="R29" s="45" t="str">
        <f aca="false">IF(R28="-","",IF(R28=1,Q29+1,0))</f>
        <v/>
      </c>
      <c r="S29" s="45" t="str">
        <f aca="false">IF(S28="-","",IF(S28=1,R29+1,0))</f>
        <v/>
      </c>
      <c r="T29" s="45" t="str">
        <f aca="false">IF(T28="-","",IF(T28=1,S29+1,0))</f>
        <v/>
      </c>
      <c r="U29" s="45" t="str">
        <f aca="false">IF(U28="-","",IF(U28=1,T29+1,0))</f>
        <v/>
      </c>
      <c r="V29" s="45" t="str">
        <f aca="false">IF(V28="-","",IF(V28=1,U29+1,0))</f>
        <v/>
      </c>
      <c r="W29" s="45" t="str">
        <f aca="false">IF(W28="-","",IF(W28=1,V29+1,0))</f>
        <v/>
      </c>
      <c r="X29" s="45" t="str">
        <f aca="false">IF(X28="-","",IF(X28=1,W29+1,0))</f>
        <v/>
      </c>
      <c r="Y29" s="45" t="str">
        <f aca="false">IF(Y28="-","",IF(Y28=1,X29+1,0))</f>
        <v/>
      </c>
      <c r="Z29" s="45" t="str">
        <f aca="false">IF(Z28="-","",IF(Z28=1,Y29+1,0))</f>
        <v/>
      </c>
      <c r="AA29" s="45" t="str">
        <f aca="false">IF(AA28="-","",IF(AA28=1,Z29+1,0))</f>
        <v/>
      </c>
      <c r="AB29" s="45" t="str">
        <f aca="false">IF(AB28="-","",IF(AB28=1,AA29+1,0))</f>
        <v/>
      </c>
      <c r="AC29" s="45" t="str">
        <f aca="false">IF(AC28="-","",IF(AC28=1,AB29+1,0))</f>
        <v/>
      </c>
      <c r="AD29" s="45" t="str">
        <f aca="false">IF(AD28="-","",IF(AD28=1,AC29+1,0))</f>
        <v/>
      </c>
      <c r="AE29" s="45" t="str">
        <f aca="false">IF(AE28="-","",IF(AE28=1,AD29+1,0))</f>
        <v/>
      </c>
      <c r="AF29" s="45" t="str">
        <f aca="false">IF(AF28="-","",IF(AF28=1,AE29+1,0))</f>
        <v/>
      </c>
      <c r="AG29" s="45" t="str">
        <f aca="false">IF(AG28="-","",IF(AG28=1,AF29+1,0))</f>
        <v/>
      </c>
      <c r="AH29" s="45" t="str">
        <f aca="false">IF(AH28="-","",IF(AH28=1,AG29+1,0))</f>
        <v/>
      </c>
      <c r="AI29" s="45" t="str">
        <f aca="false">IF(AI28="-","",IF(AI28=1,AH29+1,0))</f>
        <v/>
      </c>
    </row>
  </sheetData>
  <sheetProtection sheet="true" formatCells="false" formatColumns="false" formatRows="false" insertColumns="false" sort="false"/>
  <autoFilter ref="A5:AL25"/>
  <mergeCells count="2">
    <mergeCell ref="A1:AL2"/>
    <mergeCell ref="A3:AL3"/>
  </mergeCells>
  <conditionalFormatting sqref="AL6:AL25">
    <cfRule type="colorScale" priority="2">
      <colorScale>
        <cfvo type="num" val="0"/>
        <cfvo type="num" val="1"/>
        <color rgb="FFFECACA"/>
        <color rgb="FF86EFAC"/>
      </colorScale>
    </cfRule>
    <cfRule type="colorScale" priority="3">
      <colorScale>
        <cfvo type="num" val="0"/>
        <cfvo type="num" val="0.5"/>
        <cfvo type="num" val="1"/>
        <color rgb="FFFDECEC"/>
        <color rgb="FFFFF7E6"/>
        <color rgb="FFE8F5E9"/>
      </colorScale>
    </cfRule>
  </conditionalFormatting>
  <conditionalFormatting sqref="E6:AI25">
    <cfRule type="cellIs" priority="4" operator="equal" aboveAverage="0" equalAverage="0" bottom="0" percent="0" rank="0" text="" dxfId="8">
      <formula>1</formula>
    </cfRule>
    <cfRule type="cellIs" priority="5" operator="equal" aboveAverage="0" equalAverage="0" bottom="0" percent="0" rank="0" text="" dxfId="11">
      <formula>0</formula>
    </cfRule>
  </conditionalFormatting>
  <dataValidations count="5">
    <dataValidation allowBlank="false" error="Please enter a valid date." errorStyle="stop" errorTitle="Invalid month" operator="between" prompt="Enter the first day of the month." promptTitle="Month starting" showDropDown="false" showErrorMessage="false" showInputMessage="false" sqref="B4" type="date">
      <formula1>DATE(2000,1,1)</formula1>
      <formula2>DATE(2100,12,31)</formula2>
    </dataValidation>
    <dataValidation allowBlank="true" errorStyle="stop" operator="between" showDropDown="false" showErrorMessage="false" showInputMessage="false" sqref="B6:B25" type="list">
      <formula1>Lists!$A$6:$A$20</formula1>
      <formula2>0</formula2>
    </dataValidation>
    <dataValidation allowBlank="true" errorStyle="stop" operator="between" showDropDown="false" showErrorMessage="false" showInputMessage="false" sqref="C6:C25" type="list">
      <formula1>Lists!$C$6:$C$20</formula1>
      <formula2>0</formula2>
    </dataValidation>
    <dataValidation allowBlank="true" errorStyle="stop" operator="between" showDropDown="false" showErrorMessage="false" showInputMessage="false" sqref="D6:D25" type="list">
      <formula1>'goals (niyah)'!$b$6:$b$35</formula1>
      <formula2>0</formula2>
    </dataValidation>
    <dataValidation allowBlank="true" error="Enter only 1 for Done or 0 for Missed." errorStyle="stop" errorTitle="Use 1 or 0" operator="between" showDropDown="false" showErrorMessage="false" showInputMessage="false" sqref="E6:AI25" type="whole">
      <formula1>0</formula1>
      <formula2>1</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27"/>
    <col collapsed="false" customWidth="true" hidden="false" outlineLevel="0" max="3" min="3" style="1" width="15"/>
    <col collapsed="false" customWidth="true" hidden="false" outlineLevel="0" max="4" min="4" style="1" width="42"/>
    <col collapsed="false" customWidth="true" hidden="false" outlineLevel="0" max="5" min="5" style="1" width="18"/>
  </cols>
  <sheetData>
    <row r="1" customFormat="false" ht="30" hidden="false" customHeight="true" outlineLevel="0" collapsed="false">
      <c r="A1" s="27" t="s">
        <v>57</v>
      </c>
      <c r="B1" s="27"/>
      <c r="C1" s="27"/>
      <c r="D1" s="27"/>
      <c r="E1" s="27"/>
    </row>
    <row r="2" customFormat="false" ht="15.75" hidden="false" customHeight="true" outlineLevel="0" collapsed="false">
      <c r="A2" s="27"/>
      <c r="B2" s="27"/>
      <c r="C2" s="27"/>
      <c r="D2" s="27"/>
      <c r="E2" s="27"/>
    </row>
    <row r="3" customFormat="false" ht="21.75" hidden="false" customHeight="true" outlineLevel="0" collapsed="false">
      <c r="A3" s="28" t="s">
        <v>58</v>
      </c>
      <c r="B3" s="28"/>
      <c r="C3" s="28"/>
      <c r="D3" s="28"/>
      <c r="E3" s="28"/>
    </row>
    <row r="5" customFormat="false" ht="30" hidden="false" customHeight="true" outlineLevel="0" collapsed="false">
      <c r="A5" s="29" t="s">
        <v>59</v>
      </c>
      <c r="B5" s="29" t="s">
        <v>37</v>
      </c>
      <c r="C5" s="29" t="s">
        <v>60</v>
      </c>
      <c r="D5" s="29" t="s">
        <v>61</v>
      </c>
      <c r="E5" s="29" t="s">
        <v>62</v>
      </c>
    </row>
    <row r="6" customFormat="false" ht="15" hidden="false" customHeight="true" outlineLevel="0" collapsed="false">
      <c r="A6" s="46" t="n">
        <f aca="false">'Actions Tracker'!$B$4+0</f>
        <v>46266</v>
      </c>
      <c r="B6" s="31"/>
      <c r="C6" s="31"/>
      <c r="D6" s="31"/>
      <c r="E6" s="47" t="n">
        <f aca="false">IFERROR(SUM(INDEX('Actions Tracker'!$E$6:$AI$25,0,MATCH(A6,'Actions Tracker'!$E$5:$AI$5,0))),"-")</f>
        <v>0</v>
      </c>
    </row>
    <row r="7" customFormat="false" ht="15" hidden="false" customHeight="true" outlineLevel="0" collapsed="false">
      <c r="A7" s="46" t="n">
        <f aca="false">'Actions Tracker'!$B$4+1</f>
        <v>46267</v>
      </c>
      <c r="B7" s="31"/>
      <c r="C7" s="31"/>
      <c r="D7" s="31"/>
      <c r="E7" s="47" t="n">
        <f aca="false">IFERROR(SUM(INDEX('Actions Tracker'!$E$6:$AI$25,0,MATCH(A7,'Actions Tracker'!$E$5:$AI$5,0))),"-")</f>
        <v>0</v>
      </c>
    </row>
    <row r="8" customFormat="false" ht="15" hidden="false" customHeight="true" outlineLevel="0" collapsed="false">
      <c r="A8" s="46" t="n">
        <f aca="false">'Actions Tracker'!$B$4+2</f>
        <v>46268</v>
      </c>
      <c r="B8" s="31"/>
      <c r="C8" s="31"/>
      <c r="D8" s="31"/>
      <c r="E8" s="47" t="n">
        <f aca="false">IFERROR(SUM(INDEX('Actions Tracker'!$E$6:$AI$25,0,MATCH(A8,'Actions Tracker'!$E$5:$AI$5,0))),"-")</f>
        <v>0</v>
      </c>
    </row>
    <row r="9" customFormat="false" ht="15" hidden="false" customHeight="true" outlineLevel="0" collapsed="false">
      <c r="A9" s="46" t="n">
        <f aca="false">'Actions Tracker'!$B$4+3</f>
        <v>46269</v>
      </c>
      <c r="B9" s="31"/>
      <c r="C9" s="31"/>
      <c r="D9" s="31"/>
      <c r="E9" s="47" t="n">
        <f aca="false">IFERROR(SUM(INDEX('Actions Tracker'!$E$6:$AI$25,0,MATCH(A9,'Actions Tracker'!$E$5:$AI$5,0))),"-")</f>
        <v>0</v>
      </c>
    </row>
    <row r="10" customFormat="false" ht="15" hidden="false" customHeight="true" outlineLevel="0" collapsed="false">
      <c r="A10" s="46" t="n">
        <f aca="false">'Actions Tracker'!$B$4+4</f>
        <v>46270</v>
      </c>
      <c r="B10" s="31"/>
      <c r="C10" s="31"/>
      <c r="D10" s="31"/>
      <c r="E10" s="47" t="n">
        <f aca="false">IFERROR(SUM(INDEX('Actions Tracker'!$E$6:$AI$25,0,MATCH(A10,'Actions Tracker'!$E$5:$AI$5,0))),"-")</f>
        <v>0</v>
      </c>
    </row>
    <row r="11" customFormat="false" ht="15" hidden="false" customHeight="true" outlineLevel="0" collapsed="false">
      <c r="A11" s="46" t="n">
        <f aca="false">'Actions Tracker'!$B$4+5</f>
        <v>46271</v>
      </c>
      <c r="B11" s="31"/>
      <c r="C11" s="31"/>
      <c r="D11" s="31"/>
      <c r="E11" s="47" t="n">
        <f aca="false">IFERROR(SUM(INDEX('Actions Tracker'!$E$6:$AI$25,0,MATCH(A11,'Actions Tracker'!$E$5:$AI$5,0))),"-")</f>
        <v>0</v>
      </c>
    </row>
    <row r="12" customFormat="false" ht="15" hidden="false" customHeight="true" outlineLevel="0" collapsed="false">
      <c r="A12" s="46" t="n">
        <f aca="false">'Actions Tracker'!$B$4+6</f>
        <v>46272</v>
      </c>
      <c r="B12" s="31"/>
      <c r="C12" s="31"/>
      <c r="D12" s="31"/>
      <c r="E12" s="47" t="n">
        <f aca="false">IFERROR(SUM(INDEX('Actions Tracker'!$E$6:$AI$25,0,MATCH(A12,'Actions Tracker'!$E$5:$AI$5,0))),"-")</f>
        <v>0</v>
      </c>
    </row>
    <row r="13" customFormat="false" ht="15" hidden="false" customHeight="true" outlineLevel="0" collapsed="false">
      <c r="A13" s="46" t="n">
        <f aca="false">'Actions Tracker'!$B$4+7</f>
        <v>46273</v>
      </c>
      <c r="B13" s="31"/>
      <c r="C13" s="31"/>
      <c r="D13" s="31"/>
      <c r="E13" s="47" t="n">
        <f aca="false">IFERROR(SUM(INDEX('Actions Tracker'!$E$6:$AI$25,0,MATCH(A13,'Actions Tracker'!$E$5:$AI$5,0))),"-")</f>
        <v>0</v>
      </c>
    </row>
    <row r="14" customFormat="false" ht="15" hidden="false" customHeight="true" outlineLevel="0" collapsed="false">
      <c r="A14" s="46" t="n">
        <f aca="false">'Actions Tracker'!$B$4+8</f>
        <v>46274</v>
      </c>
      <c r="B14" s="31"/>
      <c r="C14" s="31"/>
      <c r="D14" s="31"/>
      <c r="E14" s="47" t="n">
        <f aca="false">IFERROR(SUM(INDEX('Actions Tracker'!$E$6:$AI$25,0,MATCH(A14,'Actions Tracker'!$E$5:$AI$5,0))),"-")</f>
        <v>0</v>
      </c>
    </row>
    <row r="15" customFormat="false" ht="15" hidden="false" customHeight="true" outlineLevel="0" collapsed="false">
      <c r="A15" s="46" t="n">
        <f aca="false">'Actions Tracker'!$B$4+9</f>
        <v>46275</v>
      </c>
      <c r="B15" s="31"/>
      <c r="C15" s="31"/>
      <c r="D15" s="31"/>
      <c r="E15" s="47" t="n">
        <f aca="false">IFERROR(SUM(INDEX('Actions Tracker'!$E$6:$AI$25,0,MATCH(A15,'Actions Tracker'!$E$5:$AI$5,0))),"-")</f>
        <v>0</v>
      </c>
    </row>
    <row r="16" customFormat="false" ht="15" hidden="false" customHeight="true" outlineLevel="0" collapsed="false">
      <c r="A16" s="46" t="n">
        <f aca="false">'Actions Tracker'!$B$4+10</f>
        <v>46276</v>
      </c>
      <c r="B16" s="31"/>
      <c r="C16" s="31"/>
      <c r="D16" s="31"/>
      <c r="E16" s="47" t="n">
        <f aca="false">IFERROR(SUM(INDEX('Actions Tracker'!$E$6:$AI$25,0,MATCH(A16,'Actions Tracker'!$E$5:$AI$5,0))),"-")</f>
        <v>0</v>
      </c>
    </row>
    <row r="17" customFormat="false" ht="15" hidden="false" customHeight="true" outlineLevel="0" collapsed="false">
      <c r="A17" s="46" t="n">
        <f aca="false">'Actions Tracker'!$B$4+11</f>
        <v>46277</v>
      </c>
      <c r="B17" s="31"/>
      <c r="C17" s="31"/>
      <c r="D17" s="31"/>
      <c r="E17" s="47" t="n">
        <f aca="false">IFERROR(SUM(INDEX('Actions Tracker'!$E$6:$AI$25,0,MATCH(A17,'Actions Tracker'!$E$5:$AI$5,0))),"-")</f>
        <v>0</v>
      </c>
    </row>
    <row r="18" customFormat="false" ht="15" hidden="false" customHeight="true" outlineLevel="0" collapsed="false">
      <c r="A18" s="46" t="n">
        <f aca="false">'Actions Tracker'!$B$4+12</f>
        <v>46278</v>
      </c>
      <c r="B18" s="31"/>
      <c r="C18" s="31"/>
      <c r="D18" s="31"/>
      <c r="E18" s="47" t="n">
        <f aca="false">IFERROR(SUM(INDEX('Actions Tracker'!$E$6:$AI$25,0,MATCH(A18,'Actions Tracker'!$E$5:$AI$5,0))),"-")</f>
        <v>0</v>
      </c>
    </row>
    <row r="19" customFormat="false" ht="15" hidden="false" customHeight="true" outlineLevel="0" collapsed="false">
      <c r="A19" s="46" t="n">
        <f aca="false">'Actions Tracker'!$B$4+13</f>
        <v>46279</v>
      </c>
      <c r="B19" s="31"/>
      <c r="C19" s="31"/>
      <c r="D19" s="31"/>
      <c r="E19" s="47" t="n">
        <f aca="false">IFERROR(SUM(INDEX('Actions Tracker'!$E$6:$AI$25,0,MATCH(A19,'Actions Tracker'!$E$5:$AI$5,0))),"-")</f>
        <v>0</v>
      </c>
    </row>
    <row r="20" customFormat="false" ht="15" hidden="false" customHeight="true" outlineLevel="0" collapsed="false">
      <c r="A20" s="46" t="n">
        <f aca="false">'Actions Tracker'!$B$4+14</f>
        <v>46280</v>
      </c>
      <c r="B20" s="31"/>
      <c r="C20" s="31"/>
      <c r="D20" s="31"/>
      <c r="E20" s="47" t="n">
        <f aca="false">IFERROR(SUM(INDEX('Actions Tracker'!$E$6:$AI$25,0,MATCH(A20,'Actions Tracker'!$E$5:$AI$5,0))),"-")</f>
        <v>0</v>
      </c>
    </row>
    <row r="21" customFormat="false" ht="15" hidden="false" customHeight="true" outlineLevel="0" collapsed="false">
      <c r="A21" s="46" t="n">
        <f aca="false">'Actions Tracker'!$B$4+15</f>
        <v>46281</v>
      </c>
      <c r="B21" s="31"/>
      <c r="C21" s="31"/>
      <c r="D21" s="31"/>
      <c r="E21" s="47" t="n">
        <f aca="false">IFERROR(SUM(INDEX('Actions Tracker'!$E$6:$AI$25,0,MATCH(A21,'Actions Tracker'!$E$5:$AI$5,0))),"-")</f>
        <v>0</v>
      </c>
    </row>
    <row r="22" customFormat="false" ht="15" hidden="false" customHeight="true" outlineLevel="0" collapsed="false">
      <c r="A22" s="46" t="n">
        <f aca="false">'Actions Tracker'!$B$4+16</f>
        <v>46282</v>
      </c>
      <c r="B22" s="31"/>
      <c r="C22" s="31"/>
      <c r="D22" s="31"/>
      <c r="E22" s="47" t="n">
        <f aca="false">IFERROR(SUM(INDEX('Actions Tracker'!$E$6:$AI$25,0,MATCH(A22,'Actions Tracker'!$E$5:$AI$5,0))),"-")</f>
        <v>0</v>
      </c>
    </row>
    <row r="23" customFormat="false" ht="15" hidden="false" customHeight="true" outlineLevel="0" collapsed="false">
      <c r="A23" s="46" t="n">
        <f aca="false">'Actions Tracker'!$B$4+17</f>
        <v>46283</v>
      </c>
      <c r="B23" s="31"/>
      <c r="C23" s="31"/>
      <c r="D23" s="31"/>
      <c r="E23" s="47" t="n">
        <f aca="false">IFERROR(SUM(INDEX('Actions Tracker'!$E$6:$AI$25,0,MATCH(A23,'Actions Tracker'!$E$5:$AI$5,0))),"-")</f>
        <v>0</v>
      </c>
    </row>
    <row r="24" customFormat="false" ht="15" hidden="false" customHeight="true" outlineLevel="0" collapsed="false">
      <c r="A24" s="46" t="n">
        <f aca="false">'Actions Tracker'!$B$4+18</f>
        <v>46284</v>
      </c>
      <c r="B24" s="31"/>
      <c r="C24" s="31"/>
      <c r="D24" s="31"/>
      <c r="E24" s="47" t="n">
        <f aca="false">IFERROR(SUM(INDEX('Actions Tracker'!$E$6:$AI$25,0,MATCH(A24,'Actions Tracker'!$E$5:$AI$5,0))),"-")</f>
        <v>0</v>
      </c>
    </row>
    <row r="25" customFormat="false" ht="15" hidden="false" customHeight="true" outlineLevel="0" collapsed="false">
      <c r="A25" s="46" t="n">
        <f aca="false">'Actions Tracker'!$B$4+19</f>
        <v>46285</v>
      </c>
      <c r="B25" s="31"/>
      <c r="C25" s="31"/>
      <c r="D25" s="31"/>
      <c r="E25" s="47" t="n">
        <f aca="false">IFERROR(SUM(INDEX('Actions Tracker'!$E$6:$AI$25,0,MATCH(A25,'Actions Tracker'!$E$5:$AI$5,0))),"-")</f>
        <v>0</v>
      </c>
    </row>
    <row r="26" customFormat="false" ht="15" hidden="false" customHeight="true" outlineLevel="0" collapsed="false">
      <c r="A26" s="46" t="n">
        <f aca="false">'Actions Tracker'!$B$4+20</f>
        <v>46286</v>
      </c>
      <c r="B26" s="31"/>
      <c r="C26" s="31"/>
      <c r="D26" s="31"/>
      <c r="E26" s="47" t="n">
        <f aca="false">IFERROR(SUM(INDEX('Actions Tracker'!$E$6:$AI$25,0,MATCH(A26,'Actions Tracker'!$E$5:$AI$5,0))),"-")</f>
        <v>0</v>
      </c>
    </row>
    <row r="27" customFormat="false" ht="15" hidden="false" customHeight="true" outlineLevel="0" collapsed="false">
      <c r="A27" s="46" t="n">
        <f aca="false">'Actions Tracker'!$B$4+21</f>
        <v>46287</v>
      </c>
      <c r="B27" s="31"/>
      <c r="C27" s="31"/>
      <c r="D27" s="31"/>
      <c r="E27" s="47" t="n">
        <f aca="false">IFERROR(SUM(INDEX('Actions Tracker'!$E$6:$AI$25,0,MATCH(A27,'Actions Tracker'!$E$5:$AI$5,0))),"-")</f>
        <v>0</v>
      </c>
    </row>
    <row r="28" customFormat="false" ht="15" hidden="false" customHeight="true" outlineLevel="0" collapsed="false">
      <c r="A28" s="46" t="n">
        <f aca="false">'Actions Tracker'!$B$4+22</f>
        <v>46288</v>
      </c>
      <c r="B28" s="31"/>
      <c r="C28" s="31"/>
      <c r="D28" s="31"/>
      <c r="E28" s="47" t="n">
        <f aca="false">IFERROR(SUM(INDEX('Actions Tracker'!$E$6:$AI$25,0,MATCH(A28,'Actions Tracker'!$E$5:$AI$5,0))),"-")</f>
        <v>0</v>
      </c>
    </row>
    <row r="29" customFormat="false" ht="15" hidden="false" customHeight="true" outlineLevel="0" collapsed="false">
      <c r="A29" s="46" t="n">
        <f aca="false">'Actions Tracker'!$B$4+23</f>
        <v>46289</v>
      </c>
      <c r="B29" s="31"/>
      <c r="C29" s="31"/>
      <c r="D29" s="31"/>
      <c r="E29" s="47" t="n">
        <f aca="false">IFERROR(SUM(INDEX('Actions Tracker'!$E$6:$AI$25,0,MATCH(A29,'Actions Tracker'!$E$5:$AI$5,0))),"-")</f>
        <v>0</v>
      </c>
    </row>
    <row r="30" customFormat="false" ht="15" hidden="false" customHeight="true" outlineLevel="0" collapsed="false">
      <c r="A30" s="46" t="n">
        <f aca="false">'Actions Tracker'!$B$4+24</f>
        <v>46290</v>
      </c>
      <c r="B30" s="31"/>
      <c r="C30" s="31"/>
      <c r="D30" s="31"/>
      <c r="E30" s="47" t="n">
        <f aca="false">IFERROR(SUM(INDEX('Actions Tracker'!$E$6:$AI$25,0,MATCH(A30,'Actions Tracker'!$E$5:$AI$5,0))),"-")</f>
        <v>0</v>
      </c>
    </row>
    <row r="31" customFormat="false" ht="15" hidden="false" customHeight="true" outlineLevel="0" collapsed="false">
      <c r="A31" s="46" t="n">
        <f aca="false">'Actions Tracker'!$B$4+25</f>
        <v>46291</v>
      </c>
      <c r="B31" s="31"/>
      <c r="C31" s="31"/>
      <c r="D31" s="31"/>
      <c r="E31" s="47" t="n">
        <f aca="false">IFERROR(SUM(INDEX('Actions Tracker'!$E$6:$AI$25,0,MATCH(A31,'Actions Tracker'!$E$5:$AI$5,0))),"-")</f>
        <v>0</v>
      </c>
    </row>
    <row r="32" customFormat="false" ht="15" hidden="false" customHeight="true" outlineLevel="0" collapsed="false">
      <c r="A32" s="46" t="n">
        <f aca="false">'Actions Tracker'!$B$4+26</f>
        <v>46292</v>
      </c>
      <c r="B32" s="31"/>
      <c r="C32" s="31"/>
      <c r="D32" s="31"/>
      <c r="E32" s="47" t="n">
        <f aca="false">IFERROR(SUM(INDEX('Actions Tracker'!$E$6:$AI$25,0,MATCH(A32,'Actions Tracker'!$E$5:$AI$5,0))),"-")</f>
        <v>0</v>
      </c>
    </row>
    <row r="33" customFormat="false" ht="15" hidden="false" customHeight="true" outlineLevel="0" collapsed="false">
      <c r="A33" s="46" t="n">
        <f aca="false">'Actions Tracker'!$B$4+27</f>
        <v>46293</v>
      </c>
      <c r="B33" s="31"/>
      <c r="C33" s="31"/>
      <c r="D33" s="31"/>
      <c r="E33" s="47" t="n">
        <f aca="false">IFERROR(SUM(INDEX('Actions Tracker'!$E$6:$AI$25,0,MATCH(A33,'Actions Tracker'!$E$5:$AI$5,0))),"-")</f>
        <v>0</v>
      </c>
    </row>
    <row r="34" customFormat="false" ht="15" hidden="false" customHeight="true" outlineLevel="0" collapsed="false">
      <c r="A34" s="46" t="n">
        <f aca="false">'Actions Tracker'!$B$4+28</f>
        <v>46294</v>
      </c>
      <c r="B34" s="31"/>
      <c r="C34" s="31"/>
      <c r="D34" s="31"/>
      <c r="E34" s="47" t="n">
        <f aca="false">IFERROR(SUM(INDEX('Actions Tracker'!$E$6:$AI$25,0,MATCH(A34,'Actions Tracker'!$E$5:$AI$5,0))),"-")</f>
        <v>0</v>
      </c>
    </row>
    <row r="35" customFormat="false" ht="15" hidden="false" customHeight="true" outlineLevel="0" collapsed="false">
      <c r="A35" s="46" t="n">
        <f aca="false">'Actions Tracker'!$B$4+29</f>
        <v>46295</v>
      </c>
      <c r="B35" s="31"/>
      <c r="C35" s="31"/>
      <c r="D35" s="31"/>
      <c r="E35" s="47" t="n">
        <f aca="false">IFERROR(SUM(INDEX('Actions Tracker'!$E$6:$AI$25,0,MATCH(A35,'Actions Tracker'!$E$5:$AI$5,0))),"-")</f>
        <v>0</v>
      </c>
    </row>
    <row r="36" customFormat="false" ht="15" hidden="false" customHeight="true" outlineLevel="0" collapsed="false">
      <c r="A36" s="46" t="n">
        <f aca="false">'Actions Tracker'!$B$4+30</f>
        <v>46296</v>
      </c>
      <c r="B36" s="31"/>
      <c r="C36" s="31"/>
      <c r="D36" s="31"/>
      <c r="E36" s="47" t="str">
        <f aca="false">IFERROR(SUM(INDEX('Actions Tracker'!$E$6:$AI$25,0,MATCH(A36,'Actions Tracker'!$E$5:$AI$5,0))),"-")</f>
        <v>-</v>
      </c>
    </row>
    <row r="37" customFormat="false" ht="15" hidden="false" customHeight="true" outlineLevel="0" collapsed="false">
      <c r="A37" s="46" t="n">
        <f aca="false">'Actions Tracker'!$B$4+31</f>
        <v>46297</v>
      </c>
      <c r="B37" s="31"/>
      <c r="C37" s="31"/>
      <c r="D37" s="31"/>
      <c r="E37" s="47" t="str">
        <f aca="false">IFERROR(SUM(INDEX('Actions Tracker'!$E$6:$AI$25,0,MATCH(A37,'Actions Tracker'!$E$5:$AI$5,0))),"-")</f>
        <v>-</v>
      </c>
    </row>
    <row r="38" customFormat="false" ht="15" hidden="false" customHeight="true" outlineLevel="0" collapsed="false">
      <c r="A38" s="46" t="n">
        <f aca="false">'Actions Tracker'!$B$4+32</f>
        <v>46298</v>
      </c>
      <c r="B38" s="31"/>
      <c r="C38" s="31"/>
      <c r="D38" s="31"/>
      <c r="E38" s="47" t="str">
        <f aca="false">IFERROR(SUM(INDEX('Actions Tracker'!$E$6:$AI$25,0,MATCH(A38,'Actions Tracker'!$E$5:$AI$5,0))),"-")</f>
        <v>-</v>
      </c>
    </row>
    <row r="39" customFormat="false" ht="15" hidden="false" customHeight="true" outlineLevel="0" collapsed="false">
      <c r="A39" s="46" t="n">
        <f aca="false">'Actions Tracker'!$B$4+33</f>
        <v>46299</v>
      </c>
      <c r="B39" s="31"/>
      <c r="C39" s="31"/>
      <c r="D39" s="31"/>
      <c r="E39" s="47" t="str">
        <f aca="false">IFERROR(SUM(INDEX('Actions Tracker'!$E$6:$AI$25,0,MATCH(A39,'Actions Tracker'!$E$5:$AI$5,0))),"-")</f>
        <v>-</v>
      </c>
    </row>
    <row r="40" customFormat="false" ht="15" hidden="false" customHeight="true" outlineLevel="0" collapsed="false">
      <c r="A40" s="46" t="n">
        <f aca="false">'Actions Tracker'!$B$4+34</f>
        <v>46300</v>
      </c>
      <c r="B40" s="31"/>
      <c r="C40" s="31"/>
      <c r="D40" s="31"/>
      <c r="E40" s="47" t="str">
        <f aca="false">IFERROR(SUM(INDEX('Actions Tracker'!$E$6:$AI$25,0,MATCH(A40,'Actions Tracker'!$E$5:$AI$5,0))),"-")</f>
        <v>-</v>
      </c>
    </row>
    <row r="41" customFormat="false" ht="15" hidden="false" customHeight="true" outlineLevel="0" collapsed="false">
      <c r="A41" s="46" t="n">
        <f aca="false">'Actions Tracker'!$B$4+35</f>
        <v>46301</v>
      </c>
      <c r="B41" s="31"/>
      <c r="C41" s="31"/>
      <c r="D41" s="31"/>
      <c r="E41" s="47" t="str">
        <f aca="false">IFERROR(SUM(INDEX('Actions Tracker'!$E$6:$AI$25,0,MATCH(A41,'Actions Tracker'!$E$5:$AI$5,0))),"-")</f>
        <v>-</v>
      </c>
    </row>
    <row r="42" customFormat="false" ht="15" hidden="false" customHeight="true" outlineLevel="0" collapsed="false">
      <c r="A42" s="46" t="n">
        <f aca="false">'Actions Tracker'!$B$4+36</f>
        <v>46302</v>
      </c>
      <c r="B42" s="31"/>
      <c r="C42" s="31"/>
      <c r="D42" s="31"/>
      <c r="E42" s="47" t="str">
        <f aca="false">IFERROR(SUM(INDEX('Actions Tracker'!$E$6:$AI$25,0,MATCH(A42,'Actions Tracker'!$E$5:$AI$5,0))),"-")</f>
        <v>-</v>
      </c>
    </row>
    <row r="43" customFormat="false" ht="15" hidden="false" customHeight="true" outlineLevel="0" collapsed="false">
      <c r="A43" s="46" t="n">
        <f aca="false">'Actions Tracker'!$B$4+37</f>
        <v>46303</v>
      </c>
      <c r="B43" s="31"/>
      <c r="C43" s="31"/>
      <c r="D43" s="31"/>
      <c r="E43" s="47" t="str">
        <f aca="false">IFERROR(SUM(INDEX('Actions Tracker'!$E$6:$AI$25,0,MATCH(A43,'Actions Tracker'!$E$5:$AI$5,0))),"-")</f>
        <v>-</v>
      </c>
    </row>
    <row r="44" customFormat="false" ht="15" hidden="false" customHeight="true" outlineLevel="0" collapsed="false">
      <c r="A44" s="46" t="n">
        <f aca="false">'Actions Tracker'!$B$4+38</f>
        <v>46304</v>
      </c>
      <c r="B44" s="31"/>
      <c r="C44" s="31"/>
      <c r="D44" s="31"/>
      <c r="E44" s="47" t="str">
        <f aca="false">IFERROR(SUM(INDEX('Actions Tracker'!$E$6:$AI$25,0,MATCH(A44,'Actions Tracker'!$E$5:$AI$5,0))),"-")</f>
        <v>-</v>
      </c>
    </row>
    <row r="45" customFormat="false" ht="15" hidden="false" customHeight="true" outlineLevel="0" collapsed="false">
      <c r="A45" s="46" t="n">
        <f aca="false">'Actions Tracker'!$B$4+39</f>
        <v>46305</v>
      </c>
      <c r="B45" s="31"/>
      <c r="C45" s="31"/>
      <c r="D45" s="31"/>
      <c r="E45" s="47" t="str">
        <f aca="false">IFERROR(SUM(INDEX('Actions Tracker'!$E$6:$AI$25,0,MATCH(A45,'Actions Tracker'!$E$5:$AI$5,0))),"-")</f>
        <v>-</v>
      </c>
    </row>
    <row r="46" customFormat="false" ht="15" hidden="false" customHeight="true" outlineLevel="0" collapsed="false">
      <c r="A46" s="46" t="n">
        <f aca="false">'Actions Tracker'!$B$4+40</f>
        <v>46306</v>
      </c>
      <c r="B46" s="31"/>
      <c r="C46" s="31"/>
      <c r="D46" s="31"/>
      <c r="E46" s="47" t="str">
        <f aca="false">IFERROR(SUM(INDEX('Actions Tracker'!$E$6:$AI$25,0,MATCH(A46,'Actions Tracker'!$E$5:$AI$5,0))),"-")</f>
        <v>-</v>
      </c>
    </row>
    <row r="47" customFormat="false" ht="15" hidden="false" customHeight="true" outlineLevel="0" collapsed="false">
      <c r="A47" s="46" t="n">
        <f aca="false">'Actions Tracker'!$B$4+41</f>
        <v>46307</v>
      </c>
      <c r="B47" s="31"/>
      <c r="C47" s="31"/>
      <c r="D47" s="31"/>
      <c r="E47" s="47" t="str">
        <f aca="false">IFERROR(SUM(INDEX('Actions Tracker'!$E$6:$AI$25,0,MATCH(A47,'Actions Tracker'!$E$5:$AI$5,0))),"-")</f>
        <v>-</v>
      </c>
    </row>
    <row r="48" customFormat="false" ht="15" hidden="false" customHeight="true" outlineLevel="0" collapsed="false">
      <c r="A48" s="46" t="n">
        <f aca="false">'Actions Tracker'!$B$4+42</f>
        <v>46308</v>
      </c>
      <c r="B48" s="31"/>
      <c r="C48" s="31"/>
      <c r="D48" s="31"/>
      <c r="E48" s="47" t="str">
        <f aca="false">IFERROR(SUM(INDEX('Actions Tracker'!$E$6:$AI$25,0,MATCH(A48,'Actions Tracker'!$E$5:$AI$5,0))),"-")</f>
        <v>-</v>
      </c>
    </row>
    <row r="49" customFormat="false" ht="15" hidden="false" customHeight="true" outlineLevel="0" collapsed="false">
      <c r="A49" s="46" t="n">
        <f aca="false">'Actions Tracker'!$B$4+43</f>
        <v>46309</v>
      </c>
      <c r="B49" s="31"/>
      <c r="C49" s="31"/>
      <c r="D49" s="31"/>
      <c r="E49" s="47" t="str">
        <f aca="false">IFERROR(SUM(INDEX('Actions Tracker'!$E$6:$AI$25,0,MATCH(A49,'Actions Tracker'!$E$5:$AI$5,0))),"-")</f>
        <v>-</v>
      </c>
    </row>
    <row r="50" customFormat="false" ht="15" hidden="false" customHeight="true" outlineLevel="0" collapsed="false">
      <c r="A50" s="46" t="n">
        <f aca="false">'Actions Tracker'!$B$4+44</f>
        <v>46310</v>
      </c>
      <c r="B50" s="31"/>
      <c r="C50" s="31"/>
      <c r="D50" s="31"/>
      <c r="E50" s="47" t="str">
        <f aca="false">IFERROR(SUM(INDEX('Actions Tracker'!$E$6:$AI$25,0,MATCH(A50,'Actions Tracker'!$E$5:$AI$5,0))),"-")</f>
        <v>-</v>
      </c>
    </row>
    <row r="51" customFormat="false" ht="15" hidden="false" customHeight="true" outlineLevel="0" collapsed="false">
      <c r="A51" s="46" t="n">
        <f aca="false">'Actions Tracker'!$B$4+45</f>
        <v>46311</v>
      </c>
      <c r="B51" s="31"/>
      <c r="C51" s="31"/>
      <c r="D51" s="31"/>
      <c r="E51" s="47" t="str">
        <f aca="false">IFERROR(SUM(INDEX('Actions Tracker'!$E$6:$AI$25,0,MATCH(A51,'Actions Tracker'!$E$5:$AI$5,0))),"-")</f>
        <v>-</v>
      </c>
    </row>
    <row r="52" customFormat="false" ht="15" hidden="false" customHeight="true" outlineLevel="0" collapsed="false">
      <c r="A52" s="46" t="n">
        <f aca="false">'Actions Tracker'!$B$4+46</f>
        <v>46312</v>
      </c>
      <c r="B52" s="31"/>
      <c r="C52" s="31"/>
      <c r="D52" s="31"/>
      <c r="E52" s="47" t="str">
        <f aca="false">IFERROR(SUM(INDEX('Actions Tracker'!$E$6:$AI$25,0,MATCH(A52,'Actions Tracker'!$E$5:$AI$5,0))),"-")</f>
        <v>-</v>
      </c>
    </row>
    <row r="53" customFormat="false" ht="15" hidden="false" customHeight="true" outlineLevel="0" collapsed="false">
      <c r="A53" s="46" t="n">
        <f aca="false">'Actions Tracker'!$B$4+47</f>
        <v>46313</v>
      </c>
      <c r="B53" s="31"/>
      <c r="C53" s="31"/>
      <c r="D53" s="31"/>
      <c r="E53" s="47" t="str">
        <f aca="false">IFERROR(SUM(INDEX('Actions Tracker'!$E$6:$AI$25,0,MATCH(A53,'Actions Tracker'!$E$5:$AI$5,0))),"-")</f>
        <v>-</v>
      </c>
    </row>
    <row r="54" customFormat="false" ht="15" hidden="false" customHeight="true" outlineLevel="0" collapsed="false">
      <c r="A54" s="46" t="n">
        <f aca="false">'Actions Tracker'!$B$4+48</f>
        <v>46314</v>
      </c>
      <c r="B54" s="31"/>
      <c r="C54" s="31"/>
      <c r="D54" s="31"/>
      <c r="E54" s="47" t="str">
        <f aca="false">IFERROR(SUM(INDEX('Actions Tracker'!$E$6:$AI$25,0,MATCH(A54,'Actions Tracker'!$E$5:$AI$5,0))),"-")</f>
        <v>-</v>
      </c>
    </row>
    <row r="55" customFormat="false" ht="15" hidden="false" customHeight="true" outlineLevel="0" collapsed="false">
      <c r="A55" s="46" t="n">
        <f aca="false">'Actions Tracker'!$B$4+49</f>
        <v>46315</v>
      </c>
      <c r="B55" s="31"/>
      <c r="C55" s="31"/>
      <c r="D55" s="31"/>
      <c r="E55" s="47" t="str">
        <f aca="false">IFERROR(SUM(INDEX('Actions Tracker'!$E$6:$AI$25,0,MATCH(A55,'Actions Tracker'!$E$5:$AI$5,0))),"-")</f>
        <v>-</v>
      </c>
    </row>
    <row r="56" customFormat="false" ht="15" hidden="false" customHeight="true" outlineLevel="0" collapsed="false">
      <c r="A56" s="46" t="n">
        <f aca="false">'Actions Tracker'!$B$4+50</f>
        <v>46316</v>
      </c>
      <c r="B56" s="31"/>
      <c r="C56" s="31"/>
      <c r="D56" s="31"/>
      <c r="E56" s="47" t="str">
        <f aca="false">IFERROR(SUM(INDEX('Actions Tracker'!$E$6:$AI$25,0,MATCH(A56,'Actions Tracker'!$E$5:$AI$5,0))),"-")</f>
        <v>-</v>
      </c>
    </row>
    <row r="57" customFormat="false" ht="15" hidden="false" customHeight="true" outlineLevel="0" collapsed="false">
      <c r="A57" s="46" t="n">
        <f aca="false">'Actions Tracker'!$B$4+51</f>
        <v>46317</v>
      </c>
      <c r="B57" s="31"/>
      <c r="C57" s="31"/>
      <c r="D57" s="31"/>
      <c r="E57" s="47" t="str">
        <f aca="false">IFERROR(SUM(INDEX('Actions Tracker'!$E$6:$AI$25,0,MATCH(A57,'Actions Tracker'!$E$5:$AI$5,0))),"-")</f>
        <v>-</v>
      </c>
    </row>
    <row r="58" customFormat="false" ht="15" hidden="false" customHeight="true" outlineLevel="0" collapsed="false">
      <c r="A58" s="46" t="n">
        <f aca="false">'Actions Tracker'!$B$4+52</f>
        <v>46318</v>
      </c>
      <c r="B58" s="31"/>
      <c r="C58" s="31"/>
      <c r="D58" s="31"/>
      <c r="E58" s="47" t="str">
        <f aca="false">IFERROR(SUM(INDEX('Actions Tracker'!$E$6:$AI$25,0,MATCH(A58,'Actions Tracker'!$E$5:$AI$5,0))),"-")</f>
        <v>-</v>
      </c>
    </row>
    <row r="59" customFormat="false" ht="15" hidden="false" customHeight="true" outlineLevel="0" collapsed="false">
      <c r="A59" s="46" t="n">
        <f aca="false">'Actions Tracker'!$B$4+53</f>
        <v>46319</v>
      </c>
      <c r="B59" s="31"/>
      <c r="C59" s="31"/>
      <c r="D59" s="31"/>
      <c r="E59" s="47" t="str">
        <f aca="false">IFERROR(SUM(INDEX('Actions Tracker'!$E$6:$AI$25,0,MATCH(A59,'Actions Tracker'!$E$5:$AI$5,0))),"-")</f>
        <v>-</v>
      </c>
    </row>
    <row r="60" customFormat="false" ht="15" hidden="false" customHeight="true" outlineLevel="0" collapsed="false">
      <c r="A60" s="46" t="n">
        <f aca="false">'Actions Tracker'!$B$4+54</f>
        <v>46320</v>
      </c>
      <c r="B60" s="31"/>
      <c r="C60" s="31"/>
      <c r="D60" s="31"/>
      <c r="E60" s="47" t="str">
        <f aca="false">IFERROR(SUM(INDEX('Actions Tracker'!$E$6:$AI$25,0,MATCH(A60,'Actions Tracker'!$E$5:$AI$5,0))),"-")</f>
        <v>-</v>
      </c>
    </row>
    <row r="61" customFormat="false" ht="15" hidden="false" customHeight="true" outlineLevel="0" collapsed="false">
      <c r="A61" s="46" t="n">
        <f aca="false">'Actions Tracker'!$B$4+55</f>
        <v>46321</v>
      </c>
      <c r="B61" s="31"/>
      <c r="C61" s="31"/>
      <c r="D61" s="31"/>
      <c r="E61" s="47" t="str">
        <f aca="false">IFERROR(SUM(INDEX('Actions Tracker'!$E$6:$AI$25,0,MATCH(A61,'Actions Tracker'!$E$5:$AI$5,0))),"-")</f>
        <v>-</v>
      </c>
    </row>
    <row r="62" customFormat="false" ht="15" hidden="false" customHeight="true" outlineLevel="0" collapsed="false">
      <c r="A62" s="46" t="n">
        <f aca="false">'Actions Tracker'!$B$4+56</f>
        <v>46322</v>
      </c>
      <c r="B62" s="31"/>
      <c r="C62" s="31"/>
      <c r="D62" s="31"/>
      <c r="E62" s="47" t="str">
        <f aca="false">IFERROR(SUM(INDEX('Actions Tracker'!$E$6:$AI$25,0,MATCH(A62,'Actions Tracker'!$E$5:$AI$5,0))),"-")</f>
        <v>-</v>
      </c>
    </row>
    <row r="63" customFormat="false" ht="15" hidden="false" customHeight="true" outlineLevel="0" collapsed="false">
      <c r="A63" s="46" t="n">
        <f aca="false">'Actions Tracker'!$B$4+57</f>
        <v>46323</v>
      </c>
      <c r="B63" s="31"/>
      <c r="C63" s="31"/>
      <c r="D63" s="31"/>
      <c r="E63" s="47" t="str">
        <f aca="false">IFERROR(SUM(INDEX('Actions Tracker'!$E$6:$AI$25,0,MATCH(A63,'Actions Tracker'!$E$5:$AI$5,0))),"-")</f>
        <v>-</v>
      </c>
    </row>
    <row r="64" customFormat="false" ht="15" hidden="false" customHeight="true" outlineLevel="0" collapsed="false">
      <c r="A64" s="46" t="n">
        <f aca="false">'Actions Tracker'!$B$4+58</f>
        <v>46324</v>
      </c>
      <c r="B64" s="31"/>
      <c r="C64" s="31"/>
      <c r="D64" s="31"/>
      <c r="E64" s="47" t="str">
        <f aca="false">IFERROR(SUM(INDEX('Actions Tracker'!$E$6:$AI$25,0,MATCH(A64,'Actions Tracker'!$E$5:$AI$5,0))),"-")</f>
        <v>-</v>
      </c>
    </row>
    <row r="65" customFormat="false" ht="15" hidden="false" customHeight="true" outlineLevel="0" collapsed="false">
      <c r="A65" s="46" t="n">
        <f aca="false">'Actions Tracker'!$B$4+59</f>
        <v>46325</v>
      </c>
      <c r="B65" s="31"/>
      <c r="C65" s="31"/>
      <c r="D65" s="31"/>
      <c r="E65" s="47" t="str">
        <f aca="false">IFERROR(SUM(INDEX('Actions Tracker'!$E$6:$AI$25,0,MATCH(A65,'Actions Tracker'!$E$5:$AI$5,0))),"-")</f>
        <v>-</v>
      </c>
    </row>
  </sheetData>
  <sheetProtection sheet="true" formatCells="false" formatColumns="false" formatRows="false" insertColumns="false" sort="false"/>
  <autoFilter ref="A5:E65"/>
  <mergeCells count="2">
    <mergeCell ref="A1:E2"/>
    <mergeCell ref="A3:E3"/>
  </mergeCells>
  <conditionalFormatting sqref="C6:C65">
    <cfRule type="colorScale" priority="2">
      <colorScale>
        <cfvo type="num" val="1"/>
        <cfvo type="num" val="5"/>
        <cfvo type="num" val="10"/>
        <color rgb="FFFECACA"/>
        <color rgb="FFFEF08A"/>
        <color rgb="FF86EFAC"/>
      </colorScale>
    </cfRule>
    <cfRule type="colorScale" priority="3">
      <colorScale>
        <cfvo type="num" val="1"/>
        <cfvo type="num" val="5"/>
        <cfvo type="num" val="10"/>
        <color rgb="FFFDECEC"/>
        <color rgb="FFFFF7E6"/>
        <color rgb="FFE8F5E9"/>
      </colorScale>
    </cfRule>
  </conditionalFormatting>
  <dataValidations count="2">
    <dataValidation allowBlank="true" errorStyle="stop" operator="between" showDropDown="false" showErrorMessage="false" showInputMessage="false" sqref="B6:B65" type="list">
      <formula1>'goals (niyah)'!$b$6:$b$35</formula1>
      <formula2>0</formula2>
    </dataValidation>
    <dataValidation allowBlank="true" error="Enter a whole number from 1 to 10." errorStyle="stop" operator="between" showDropDown="false" showErrorMessage="false" showInputMessage="false" sqref="C6:C65" type="whole">
      <formula1>1</formula1>
      <formula2>10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8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18"/>
    <col collapsed="false" customWidth="true" hidden="false" outlineLevel="0" max="3" min="3" style="1" width="55"/>
    <col collapsed="false" customWidth="true" hidden="false" outlineLevel="0" max="4" min="4" style="1" width="14"/>
  </cols>
  <sheetData>
    <row r="1" customFormat="false" ht="30" hidden="false" customHeight="true" outlineLevel="0" collapsed="false">
      <c r="A1" s="27" t="s">
        <v>63</v>
      </c>
      <c r="B1" s="27"/>
      <c r="C1" s="27"/>
      <c r="D1" s="27"/>
    </row>
    <row r="2" customFormat="false" ht="15.75" hidden="false" customHeight="true" outlineLevel="0" collapsed="false">
      <c r="A2" s="27"/>
      <c r="B2" s="27"/>
      <c r="C2" s="27"/>
      <c r="D2" s="27"/>
    </row>
    <row r="3" customFormat="false" ht="21.75" hidden="false" customHeight="true" outlineLevel="0" collapsed="false">
      <c r="A3" s="28" t="s">
        <v>64</v>
      </c>
      <c r="B3" s="28"/>
      <c r="C3" s="28"/>
      <c r="D3" s="28"/>
    </row>
    <row r="5" customFormat="false" ht="30" hidden="false" customHeight="true" outlineLevel="0" collapsed="false">
      <c r="A5" s="29" t="s">
        <v>59</v>
      </c>
      <c r="B5" s="29" t="s">
        <v>52</v>
      </c>
      <c r="C5" s="29" t="s">
        <v>65</v>
      </c>
      <c r="D5" s="29" t="s">
        <v>66</v>
      </c>
    </row>
    <row r="6" customFormat="false" ht="15" hidden="false" customHeight="true" outlineLevel="0" collapsed="false">
      <c r="A6" s="32"/>
      <c r="B6" s="31"/>
      <c r="C6" s="31"/>
      <c r="D6" s="31"/>
    </row>
    <row r="7" customFormat="false" ht="15" hidden="false" customHeight="true" outlineLevel="0" collapsed="false">
      <c r="A7" s="32"/>
      <c r="B7" s="31"/>
      <c r="C7" s="31"/>
      <c r="D7" s="31"/>
    </row>
    <row r="8" customFormat="false" ht="15" hidden="false" customHeight="true" outlineLevel="0" collapsed="false">
      <c r="A8" s="32"/>
      <c r="B8" s="31"/>
      <c r="C8" s="31"/>
      <c r="D8" s="31"/>
    </row>
    <row r="9" customFormat="false" ht="15" hidden="false" customHeight="true" outlineLevel="0" collapsed="false">
      <c r="A9" s="32"/>
      <c r="B9" s="31"/>
      <c r="C9" s="31"/>
      <c r="D9" s="31"/>
    </row>
    <row r="10" customFormat="false" ht="15" hidden="false" customHeight="true" outlineLevel="0" collapsed="false">
      <c r="A10" s="32"/>
      <c r="B10" s="31"/>
      <c r="C10" s="31"/>
      <c r="D10" s="31"/>
    </row>
    <row r="11" customFormat="false" ht="15" hidden="false" customHeight="true" outlineLevel="0" collapsed="false">
      <c r="A11" s="32"/>
      <c r="B11" s="31"/>
      <c r="C11" s="31"/>
      <c r="D11" s="31"/>
    </row>
    <row r="12" customFormat="false" ht="15" hidden="false" customHeight="true" outlineLevel="0" collapsed="false">
      <c r="A12" s="32"/>
      <c r="B12" s="31"/>
      <c r="C12" s="31"/>
      <c r="D12" s="31"/>
    </row>
    <row r="13" customFormat="false" ht="15" hidden="false" customHeight="true" outlineLevel="0" collapsed="false">
      <c r="A13" s="32"/>
      <c r="B13" s="31"/>
      <c r="C13" s="31"/>
      <c r="D13" s="31"/>
    </row>
    <row r="14" customFormat="false" ht="15" hidden="false" customHeight="true" outlineLevel="0" collapsed="false">
      <c r="A14" s="32"/>
      <c r="B14" s="31"/>
      <c r="C14" s="31"/>
      <c r="D14" s="31"/>
    </row>
    <row r="15" customFormat="false" ht="15" hidden="false" customHeight="true" outlineLevel="0" collapsed="false">
      <c r="A15" s="32"/>
      <c r="B15" s="31"/>
      <c r="C15" s="31"/>
      <c r="D15" s="31"/>
    </row>
    <row r="16" customFormat="false" ht="15" hidden="false" customHeight="true" outlineLevel="0" collapsed="false">
      <c r="A16" s="32"/>
      <c r="B16" s="31"/>
      <c r="C16" s="31"/>
      <c r="D16" s="31"/>
    </row>
    <row r="17" customFormat="false" ht="15" hidden="false" customHeight="true" outlineLevel="0" collapsed="false">
      <c r="A17" s="32"/>
      <c r="B17" s="31"/>
      <c r="C17" s="31"/>
      <c r="D17" s="31"/>
    </row>
    <row r="18" customFormat="false" ht="15" hidden="false" customHeight="true" outlineLevel="0" collapsed="false">
      <c r="A18" s="32"/>
      <c r="B18" s="31"/>
      <c r="C18" s="31"/>
      <c r="D18" s="31"/>
    </row>
    <row r="19" customFormat="false" ht="15" hidden="false" customHeight="true" outlineLevel="0" collapsed="false">
      <c r="A19" s="32"/>
      <c r="B19" s="31"/>
      <c r="C19" s="31"/>
      <c r="D19" s="31"/>
    </row>
    <row r="20" customFormat="false" ht="15" hidden="false" customHeight="true" outlineLevel="0" collapsed="false">
      <c r="A20" s="32"/>
      <c r="B20" s="31"/>
      <c r="C20" s="31"/>
      <c r="D20" s="31"/>
    </row>
    <row r="21" customFormat="false" ht="15" hidden="false" customHeight="true" outlineLevel="0" collapsed="false">
      <c r="A21" s="32"/>
      <c r="B21" s="31"/>
      <c r="C21" s="31"/>
      <c r="D21" s="31"/>
    </row>
    <row r="22" customFormat="false" ht="15" hidden="false" customHeight="true" outlineLevel="0" collapsed="false">
      <c r="A22" s="32"/>
      <c r="B22" s="31"/>
      <c r="C22" s="31"/>
      <c r="D22" s="31"/>
    </row>
    <row r="23" customFormat="false" ht="15" hidden="false" customHeight="true" outlineLevel="0" collapsed="false">
      <c r="A23" s="32"/>
      <c r="B23" s="31"/>
      <c r="C23" s="31"/>
      <c r="D23" s="31"/>
    </row>
    <row r="24" customFormat="false" ht="15" hidden="false" customHeight="true" outlineLevel="0" collapsed="false">
      <c r="A24" s="32"/>
      <c r="B24" s="31"/>
      <c r="C24" s="31"/>
      <c r="D24" s="31"/>
    </row>
    <row r="25" customFormat="false" ht="15" hidden="false" customHeight="true" outlineLevel="0" collapsed="false">
      <c r="A25" s="32"/>
      <c r="B25" s="31"/>
      <c r="C25" s="31"/>
      <c r="D25" s="31"/>
    </row>
    <row r="26" customFormat="false" ht="15" hidden="false" customHeight="true" outlineLevel="0" collapsed="false">
      <c r="A26" s="32"/>
      <c r="B26" s="31"/>
      <c r="C26" s="31"/>
      <c r="D26" s="31"/>
    </row>
    <row r="27" customFormat="false" ht="15" hidden="false" customHeight="true" outlineLevel="0" collapsed="false">
      <c r="A27" s="32"/>
      <c r="B27" s="31"/>
      <c r="C27" s="31"/>
      <c r="D27" s="31"/>
    </row>
    <row r="28" customFormat="false" ht="15" hidden="false" customHeight="true" outlineLevel="0" collapsed="false">
      <c r="A28" s="32"/>
      <c r="B28" s="31"/>
      <c r="C28" s="31"/>
      <c r="D28" s="31"/>
    </row>
    <row r="29" customFormat="false" ht="15" hidden="false" customHeight="true" outlineLevel="0" collapsed="false">
      <c r="A29" s="32"/>
      <c r="B29" s="31"/>
      <c r="C29" s="31"/>
      <c r="D29" s="31"/>
    </row>
    <row r="30" customFormat="false" ht="15" hidden="false" customHeight="true" outlineLevel="0" collapsed="false">
      <c r="A30" s="32"/>
      <c r="B30" s="31"/>
      <c r="C30" s="31"/>
      <c r="D30" s="31"/>
    </row>
    <row r="31" customFormat="false" ht="15" hidden="false" customHeight="true" outlineLevel="0" collapsed="false">
      <c r="A31" s="32"/>
      <c r="B31" s="31"/>
      <c r="C31" s="31"/>
      <c r="D31" s="31"/>
    </row>
    <row r="32" customFormat="false" ht="15" hidden="false" customHeight="true" outlineLevel="0" collapsed="false">
      <c r="A32" s="32"/>
      <c r="B32" s="31"/>
      <c r="C32" s="31"/>
      <c r="D32" s="31"/>
    </row>
    <row r="33" customFormat="false" ht="15" hidden="false" customHeight="true" outlineLevel="0" collapsed="false">
      <c r="A33" s="32"/>
      <c r="B33" s="31"/>
      <c r="C33" s="31"/>
      <c r="D33" s="31"/>
    </row>
    <row r="34" customFormat="false" ht="15" hidden="false" customHeight="true" outlineLevel="0" collapsed="false">
      <c r="A34" s="32"/>
      <c r="B34" s="31"/>
      <c r="C34" s="31"/>
      <c r="D34" s="31"/>
    </row>
    <row r="35" customFormat="false" ht="15" hidden="false" customHeight="true" outlineLevel="0" collapsed="false">
      <c r="A35" s="32"/>
      <c r="B35" s="31"/>
      <c r="C35" s="31"/>
      <c r="D35" s="31"/>
    </row>
    <row r="36" customFormat="false" ht="15" hidden="false" customHeight="true" outlineLevel="0" collapsed="false">
      <c r="A36" s="32"/>
      <c r="B36" s="31"/>
      <c r="C36" s="31"/>
      <c r="D36" s="31"/>
    </row>
    <row r="37" customFormat="false" ht="15" hidden="false" customHeight="true" outlineLevel="0" collapsed="false">
      <c r="A37" s="32"/>
      <c r="B37" s="31"/>
      <c r="C37" s="31"/>
      <c r="D37" s="31"/>
    </row>
    <row r="38" customFormat="false" ht="15" hidden="false" customHeight="true" outlineLevel="0" collapsed="false">
      <c r="A38" s="32"/>
      <c r="B38" s="31"/>
      <c r="C38" s="31"/>
      <c r="D38" s="31"/>
    </row>
    <row r="39" customFormat="false" ht="15" hidden="false" customHeight="true" outlineLevel="0" collapsed="false">
      <c r="A39" s="32"/>
      <c r="B39" s="31"/>
      <c r="C39" s="31"/>
      <c r="D39" s="31"/>
    </row>
    <row r="40" customFormat="false" ht="15" hidden="false" customHeight="true" outlineLevel="0" collapsed="false">
      <c r="A40" s="32"/>
      <c r="B40" s="31"/>
      <c r="C40" s="31"/>
      <c r="D40" s="31"/>
    </row>
    <row r="41" customFormat="false" ht="15" hidden="false" customHeight="true" outlineLevel="0" collapsed="false">
      <c r="A41" s="32"/>
      <c r="B41" s="31"/>
      <c r="C41" s="31"/>
      <c r="D41" s="31"/>
    </row>
    <row r="42" customFormat="false" ht="15" hidden="false" customHeight="true" outlineLevel="0" collapsed="false">
      <c r="A42" s="32"/>
      <c r="B42" s="31"/>
      <c r="C42" s="31"/>
      <c r="D42" s="31"/>
    </row>
    <row r="43" customFormat="false" ht="15" hidden="false" customHeight="true" outlineLevel="0" collapsed="false">
      <c r="A43" s="32"/>
      <c r="B43" s="31"/>
      <c r="C43" s="31"/>
      <c r="D43" s="31"/>
    </row>
    <row r="44" customFormat="false" ht="15" hidden="false" customHeight="true" outlineLevel="0" collapsed="false">
      <c r="A44" s="32"/>
      <c r="B44" s="31"/>
      <c r="C44" s="31"/>
      <c r="D44" s="31"/>
    </row>
    <row r="45" customFormat="false" ht="15" hidden="false" customHeight="true" outlineLevel="0" collapsed="false">
      <c r="A45" s="32"/>
      <c r="B45" s="31"/>
      <c r="C45" s="31"/>
      <c r="D45" s="31"/>
    </row>
    <row r="46" customFormat="false" ht="15" hidden="false" customHeight="true" outlineLevel="0" collapsed="false">
      <c r="A46" s="32"/>
      <c r="B46" s="31"/>
      <c r="C46" s="31"/>
      <c r="D46" s="31"/>
    </row>
    <row r="47" customFormat="false" ht="15" hidden="false" customHeight="true" outlineLevel="0" collapsed="false">
      <c r="A47" s="32"/>
      <c r="B47" s="31"/>
      <c r="C47" s="31"/>
      <c r="D47" s="31"/>
    </row>
    <row r="48" customFormat="false" ht="15" hidden="false" customHeight="true" outlineLevel="0" collapsed="false">
      <c r="A48" s="32"/>
      <c r="B48" s="31"/>
      <c r="C48" s="31"/>
      <c r="D48" s="31"/>
    </row>
    <row r="49" customFormat="false" ht="15" hidden="false" customHeight="true" outlineLevel="0" collapsed="false">
      <c r="A49" s="32"/>
      <c r="B49" s="31"/>
      <c r="C49" s="31"/>
      <c r="D49" s="31"/>
    </row>
    <row r="50" customFormat="false" ht="15" hidden="false" customHeight="true" outlineLevel="0" collapsed="false">
      <c r="A50" s="32"/>
      <c r="B50" s="31"/>
      <c r="C50" s="31"/>
      <c r="D50" s="31"/>
    </row>
    <row r="51" customFormat="false" ht="15" hidden="false" customHeight="true" outlineLevel="0" collapsed="false">
      <c r="A51" s="32"/>
      <c r="B51" s="31"/>
      <c r="C51" s="31"/>
      <c r="D51" s="31"/>
    </row>
    <row r="52" customFormat="false" ht="15" hidden="false" customHeight="true" outlineLevel="0" collapsed="false">
      <c r="A52" s="32"/>
      <c r="B52" s="31"/>
      <c r="C52" s="31"/>
      <c r="D52" s="31"/>
    </row>
    <row r="53" customFormat="false" ht="15" hidden="false" customHeight="true" outlineLevel="0" collapsed="false">
      <c r="A53" s="32"/>
      <c r="B53" s="31"/>
      <c r="C53" s="31"/>
      <c r="D53" s="31"/>
    </row>
    <row r="54" customFormat="false" ht="15" hidden="false" customHeight="true" outlineLevel="0" collapsed="false">
      <c r="A54" s="32"/>
      <c r="B54" s="31"/>
      <c r="C54" s="31"/>
      <c r="D54" s="31"/>
    </row>
    <row r="55" customFormat="false" ht="15" hidden="false" customHeight="true" outlineLevel="0" collapsed="false">
      <c r="A55" s="32"/>
      <c r="B55" s="31"/>
      <c r="C55" s="31"/>
      <c r="D55" s="31"/>
    </row>
    <row r="56" customFormat="false" ht="15" hidden="false" customHeight="true" outlineLevel="0" collapsed="false">
      <c r="A56" s="32"/>
      <c r="B56" s="31"/>
      <c r="C56" s="31"/>
      <c r="D56" s="31"/>
    </row>
    <row r="57" customFormat="false" ht="15" hidden="false" customHeight="true" outlineLevel="0" collapsed="false">
      <c r="A57" s="32"/>
      <c r="B57" s="31"/>
      <c r="C57" s="31"/>
      <c r="D57" s="31"/>
    </row>
    <row r="58" customFormat="false" ht="15" hidden="false" customHeight="true" outlineLevel="0" collapsed="false">
      <c r="A58" s="32"/>
      <c r="B58" s="31"/>
      <c r="C58" s="31"/>
      <c r="D58" s="31"/>
    </row>
    <row r="59" customFormat="false" ht="15" hidden="false" customHeight="true" outlineLevel="0" collapsed="false">
      <c r="A59" s="32"/>
      <c r="B59" s="31"/>
      <c r="C59" s="31"/>
      <c r="D59" s="31"/>
    </row>
    <row r="60" customFormat="false" ht="15" hidden="false" customHeight="true" outlineLevel="0" collapsed="false">
      <c r="A60" s="32"/>
      <c r="B60" s="31"/>
      <c r="C60" s="31"/>
      <c r="D60" s="31"/>
    </row>
    <row r="61" customFormat="false" ht="15" hidden="false" customHeight="true" outlineLevel="0" collapsed="false">
      <c r="A61" s="32"/>
      <c r="B61" s="31"/>
      <c r="C61" s="31"/>
      <c r="D61" s="31"/>
    </row>
    <row r="62" customFormat="false" ht="15" hidden="false" customHeight="true" outlineLevel="0" collapsed="false">
      <c r="A62" s="32"/>
      <c r="B62" s="31"/>
      <c r="C62" s="31"/>
      <c r="D62" s="31"/>
    </row>
    <row r="63" customFormat="false" ht="15" hidden="false" customHeight="true" outlineLevel="0" collapsed="false">
      <c r="A63" s="32"/>
      <c r="B63" s="31"/>
      <c r="C63" s="31"/>
      <c r="D63" s="31"/>
    </row>
    <row r="64" customFormat="false" ht="15" hidden="false" customHeight="true" outlineLevel="0" collapsed="false">
      <c r="A64" s="32"/>
      <c r="B64" s="31"/>
      <c r="C64" s="31"/>
      <c r="D64" s="31"/>
    </row>
    <row r="65" customFormat="false" ht="15" hidden="false" customHeight="true" outlineLevel="0" collapsed="false">
      <c r="A65" s="32"/>
      <c r="B65" s="31"/>
      <c r="C65" s="31"/>
      <c r="D65" s="31"/>
    </row>
    <row r="66" customFormat="false" ht="15" hidden="false" customHeight="true" outlineLevel="0" collapsed="false">
      <c r="A66" s="32"/>
      <c r="B66" s="31"/>
      <c r="C66" s="31"/>
      <c r="D66" s="31"/>
    </row>
    <row r="67" customFormat="false" ht="15" hidden="false" customHeight="true" outlineLevel="0" collapsed="false">
      <c r="A67" s="32"/>
      <c r="B67" s="31"/>
      <c r="C67" s="31"/>
      <c r="D67" s="31"/>
    </row>
    <row r="68" customFormat="false" ht="15" hidden="false" customHeight="true" outlineLevel="0" collapsed="false">
      <c r="A68" s="32"/>
      <c r="B68" s="31"/>
      <c r="C68" s="31"/>
      <c r="D68" s="31"/>
    </row>
    <row r="69" customFormat="false" ht="15" hidden="false" customHeight="true" outlineLevel="0" collapsed="false">
      <c r="A69" s="32"/>
      <c r="B69" s="31"/>
      <c r="C69" s="31"/>
      <c r="D69" s="31"/>
    </row>
    <row r="70" customFormat="false" ht="15" hidden="false" customHeight="true" outlineLevel="0" collapsed="false">
      <c r="A70" s="32"/>
      <c r="B70" s="31"/>
      <c r="C70" s="31"/>
      <c r="D70" s="31"/>
    </row>
    <row r="71" customFormat="false" ht="15" hidden="false" customHeight="true" outlineLevel="0" collapsed="false">
      <c r="A71" s="32"/>
      <c r="B71" s="31"/>
      <c r="C71" s="31"/>
      <c r="D71" s="31"/>
    </row>
    <row r="72" customFormat="false" ht="15" hidden="false" customHeight="true" outlineLevel="0" collapsed="false">
      <c r="A72" s="32"/>
      <c r="B72" s="31"/>
      <c r="C72" s="31"/>
      <c r="D72" s="31"/>
    </row>
    <row r="73" customFormat="false" ht="15" hidden="false" customHeight="true" outlineLevel="0" collapsed="false">
      <c r="A73" s="32"/>
      <c r="B73" s="31"/>
      <c r="C73" s="31"/>
      <c r="D73" s="31"/>
    </row>
    <row r="74" customFormat="false" ht="15" hidden="false" customHeight="true" outlineLevel="0" collapsed="false">
      <c r="A74" s="32"/>
      <c r="B74" s="31"/>
      <c r="C74" s="31"/>
      <c r="D74" s="31"/>
    </row>
    <row r="75" customFormat="false" ht="15" hidden="false" customHeight="true" outlineLevel="0" collapsed="false">
      <c r="A75" s="32"/>
      <c r="B75" s="31"/>
      <c r="C75" s="31"/>
      <c r="D75" s="31"/>
    </row>
    <row r="76" customFormat="false" ht="15" hidden="false" customHeight="true" outlineLevel="0" collapsed="false">
      <c r="A76" s="32"/>
      <c r="B76" s="31"/>
      <c r="C76" s="31"/>
      <c r="D76" s="31"/>
    </row>
    <row r="77" customFormat="false" ht="15" hidden="false" customHeight="true" outlineLevel="0" collapsed="false">
      <c r="A77" s="32"/>
      <c r="B77" s="31"/>
      <c r="C77" s="31"/>
      <c r="D77" s="31"/>
    </row>
    <row r="78" customFormat="false" ht="15" hidden="false" customHeight="true" outlineLevel="0" collapsed="false">
      <c r="A78" s="32"/>
      <c r="B78" s="31"/>
      <c r="C78" s="31"/>
      <c r="D78" s="31"/>
    </row>
    <row r="79" customFormat="false" ht="15" hidden="false" customHeight="true" outlineLevel="0" collapsed="false">
      <c r="A79" s="32"/>
      <c r="B79" s="31"/>
      <c r="C79" s="31"/>
      <c r="D79" s="31"/>
    </row>
    <row r="80" customFormat="false" ht="15" hidden="false" customHeight="true" outlineLevel="0" collapsed="false">
      <c r="A80" s="32"/>
      <c r="B80" s="31"/>
      <c r="C80" s="31"/>
      <c r="D80" s="31"/>
    </row>
    <row r="81" customFormat="false" ht="15" hidden="false" customHeight="true" outlineLevel="0" collapsed="false">
      <c r="A81" s="32"/>
      <c r="B81" s="31"/>
      <c r="C81" s="31"/>
      <c r="D81" s="31"/>
    </row>
    <row r="82" customFormat="false" ht="15" hidden="false" customHeight="true" outlineLevel="0" collapsed="false">
      <c r="A82" s="32"/>
      <c r="B82" s="31"/>
      <c r="C82" s="31"/>
      <c r="D82" s="31"/>
    </row>
    <row r="83" customFormat="false" ht="15" hidden="false" customHeight="true" outlineLevel="0" collapsed="false">
      <c r="A83" s="32"/>
      <c r="B83" s="31"/>
      <c r="C83" s="31"/>
      <c r="D83" s="31"/>
    </row>
    <row r="84" customFormat="false" ht="15" hidden="false" customHeight="true" outlineLevel="0" collapsed="false">
      <c r="A84" s="32"/>
      <c r="B84" s="31"/>
      <c r="C84" s="31"/>
      <c r="D84" s="31"/>
    </row>
    <row r="85" customFormat="false" ht="15" hidden="false" customHeight="true" outlineLevel="0" collapsed="false">
      <c r="A85" s="32"/>
      <c r="B85" s="31"/>
      <c r="C85" s="31"/>
      <c r="D85" s="31"/>
    </row>
  </sheetData>
  <sheetProtection sheet="true" formatCells="false" formatColumns="false" formatRows="false" insertColumns="false" sort="false"/>
  <autoFilter ref="A5:D85"/>
  <mergeCells count="2">
    <mergeCell ref="A1:D2"/>
    <mergeCell ref="A3:D3"/>
  </mergeCells>
  <dataValidations count="2">
    <dataValidation allowBlank="true" errorStyle="stop" operator="between" showDropDown="false" showErrorMessage="false" showInputMessage="false" sqref="B6:B85" type="list">
      <formula1>Lists!$D$6:$D$20</formula1>
      <formula2>0</formula2>
    </dataValidation>
    <dataValidation allowBlank="true" errorStyle="stop" operator="between" showDropDown="false" showErrorMessage="false" showInputMessage="false" sqref="D6:D85" type="list">
      <formula1>"Yes,No"</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5"/>
    <col collapsed="false" customWidth="true" hidden="false" outlineLevel="0" max="2" min="2" style="1" width="45"/>
    <col collapsed="false" customWidth="true" hidden="false" outlineLevel="0" max="4" min="3" style="1" width="28"/>
    <col collapsed="false" customWidth="true" hidden="false" outlineLevel="0" max="5" min="5" style="1" width="30"/>
  </cols>
  <sheetData>
    <row r="1" customFormat="false" ht="30" hidden="false" customHeight="true" outlineLevel="0" collapsed="false">
      <c r="A1" s="27" t="s">
        <v>67</v>
      </c>
      <c r="B1" s="27"/>
      <c r="C1" s="27"/>
      <c r="D1" s="27"/>
      <c r="E1" s="27"/>
    </row>
    <row r="2" customFormat="false" ht="15.75" hidden="false" customHeight="true" outlineLevel="0" collapsed="false">
      <c r="A2" s="27"/>
      <c r="B2" s="27"/>
      <c r="C2" s="27"/>
      <c r="D2" s="27"/>
      <c r="E2" s="27"/>
    </row>
    <row r="3" customFormat="false" ht="21.75" hidden="false" customHeight="true" outlineLevel="0" collapsed="false">
      <c r="A3" s="28" t="s">
        <v>68</v>
      </c>
      <c r="B3" s="28"/>
      <c r="C3" s="28"/>
      <c r="D3" s="28"/>
      <c r="E3" s="28"/>
    </row>
    <row r="5" customFormat="false" ht="30" hidden="false" customHeight="true" outlineLevel="0" collapsed="false">
      <c r="A5" s="29" t="s">
        <v>59</v>
      </c>
      <c r="B5" s="29" t="s">
        <v>69</v>
      </c>
      <c r="C5" s="29" t="s">
        <v>70</v>
      </c>
      <c r="D5" s="29" t="s">
        <v>71</v>
      </c>
      <c r="E5" s="29" t="s">
        <v>72</v>
      </c>
    </row>
    <row r="6" customFormat="false" ht="42" hidden="false" customHeight="true" outlineLevel="0" collapsed="false">
      <c r="A6" s="48" t="n">
        <f aca="false">'Actions Tracker'!$B$4+0</f>
        <v>46266</v>
      </c>
      <c r="B6" s="31"/>
      <c r="C6" s="31"/>
      <c r="D6" s="31"/>
      <c r="E6" s="31"/>
    </row>
    <row r="7" customFormat="false" ht="42" hidden="false" customHeight="true" outlineLevel="0" collapsed="false">
      <c r="A7" s="48" t="n">
        <f aca="false">'Actions Tracker'!$B$4+1</f>
        <v>46267</v>
      </c>
      <c r="B7" s="31"/>
      <c r="C7" s="31"/>
      <c r="D7" s="31"/>
      <c r="E7" s="31"/>
    </row>
    <row r="8" customFormat="false" ht="42" hidden="false" customHeight="true" outlineLevel="0" collapsed="false">
      <c r="A8" s="48" t="n">
        <f aca="false">'Actions Tracker'!$B$4+2</f>
        <v>46268</v>
      </c>
      <c r="B8" s="31"/>
      <c r="C8" s="31"/>
      <c r="D8" s="31"/>
      <c r="E8" s="31"/>
    </row>
    <row r="9" customFormat="false" ht="42" hidden="false" customHeight="true" outlineLevel="0" collapsed="false">
      <c r="A9" s="48" t="n">
        <f aca="false">'Actions Tracker'!$B$4+3</f>
        <v>46269</v>
      </c>
      <c r="B9" s="31"/>
      <c r="C9" s="31"/>
      <c r="D9" s="31"/>
      <c r="E9" s="31"/>
    </row>
    <row r="10" customFormat="false" ht="42" hidden="false" customHeight="true" outlineLevel="0" collapsed="false">
      <c r="A10" s="48" t="n">
        <f aca="false">'Actions Tracker'!$B$4+4</f>
        <v>46270</v>
      </c>
      <c r="B10" s="31"/>
      <c r="C10" s="31"/>
      <c r="D10" s="31"/>
      <c r="E10" s="31"/>
    </row>
    <row r="11" customFormat="false" ht="42" hidden="false" customHeight="true" outlineLevel="0" collapsed="false">
      <c r="A11" s="48" t="n">
        <f aca="false">'Actions Tracker'!$B$4+5</f>
        <v>46271</v>
      </c>
      <c r="B11" s="31"/>
      <c r="C11" s="31"/>
      <c r="D11" s="31"/>
      <c r="E11" s="31"/>
    </row>
    <row r="12" customFormat="false" ht="42" hidden="false" customHeight="true" outlineLevel="0" collapsed="false">
      <c r="A12" s="48" t="n">
        <f aca="false">'Actions Tracker'!$B$4+6</f>
        <v>46272</v>
      </c>
      <c r="B12" s="31"/>
      <c r="C12" s="31"/>
      <c r="D12" s="31"/>
      <c r="E12" s="31"/>
    </row>
    <row r="13" customFormat="false" ht="42" hidden="false" customHeight="true" outlineLevel="0" collapsed="false">
      <c r="A13" s="48" t="n">
        <f aca="false">'Actions Tracker'!$B$4+7</f>
        <v>46273</v>
      </c>
      <c r="B13" s="31"/>
      <c r="C13" s="31"/>
      <c r="D13" s="31"/>
      <c r="E13" s="31"/>
    </row>
    <row r="14" customFormat="false" ht="42" hidden="false" customHeight="true" outlineLevel="0" collapsed="false">
      <c r="A14" s="48" t="n">
        <f aca="false">'Actions Tracker'!$B$4+8</f>
        <v>46274</v>
      </c>
      <c r="B14" s="31"/>
      <c r="C14" s="31"/>
      <c r="D14" s="31"/>
      <c r="E14" s="31"/>
    </row>
    <row r="15" customFormat="false" ht="42" hidden="false" customHeight="true" outlineLevel="0" collapsed="false">
      <c r="A15" s="48" t="n">
        <f aca="false">'Actions Tracker'!$B$4+9</f>
        <v>46275</v>
      </c>
      <c r="B15" s="31"/>
      <c r="C15" s="31"/>
      <c r="D15" s="31"/>
      <c r="E15" s="31"/>
    </row>
    <row r="16" customFormat="false" ht="42" hidden="false" customHeight="true" outlineLevel="0" collapsed="false">
      <c r="A16" s="48" t="n">
        <f aca="false">'Actions Tracker'!$B$4+10</f>
        <v>46276</v>
      </c>
      <c r="B16" s="31"/>
      <c r="C16" s="31"/>
      <c r="D16" s="31"/>
      <c r="E16" s="31"/>
    </row>
    <row r="17" customFormat="false" ht="42" hidden="false" customHeight="true" outlineLevel="0" collapsed="false">
      <c r="A17" s="48" t="n">
        <f aca="false">'Actions Tracker'!$B$4+11</f>
        <v>46277</v>
      </c>
      <c r="B17" s="31"/>
      <c r="C17" s="31"/>
      <c r="D17" s="31"/>
      <c r="E17" s="31"/>
    </row>
    <row r="18" customFormat="false" ht="42" hidden="false" customHeight="true" outlineLevel="0" collapsed="false">
      <c r="A18" s="48" t="n">
        <f aca="false">'Actions Tracker'!$B$4+12</f>
        <v>46278</v>
      </c>
      <c r="B18" s="31"/>
      <c r="C18" s="31"/>
      <c r="D18" s="31"/>
      <c r="E18" s="31"/>
    </row>
    <row r="19" customFormat="false" ht="42" hidden="false" customHeight="true" outlineLevel="0" collapsed="false">
      <c r="A19" s="48" t="n">
        <f aca="false">'Actions Tracker'!$B$4+13</f>
        <v>46279</v>
      </c>
      <c r="B19" s="31"/>
      <c r="C19" s="31"/>
      <c r="D19" s="31"/>
      <c r="E19" s="31"/>
    </row>
    <row r="20" customFormat="false" ht="42" hidden="false" customHeight="true" outlineLevel="0" collapsed="false">
      <c r="A20" s="48" t="n">
        <f aca="false">'Actions Tracker'!$B$4+14</f>
        <v>46280</v>
      </c>
      <c r="B20" s="31"/>
      <c r="C20" s="31"/>
      <c r="D20" s="31"/>
      <c r="E20" s="31"/>
    </row>
    <row r="21" customFormat="false" ht="42" hidden="false" customHeight="true" outlineLevel="0" collapsed="false">
      <c r="A21" s="48" t="n">
        <f aca="false">'Actions Tracker'!$B$4+15</f>
        <v>46281</v>
      </c>
      <c r="B21" s="31"/>
      <c r="C21" s="31"/>
      <c r="D21" s="31"/>
      <c r="E21" s="31"/>
    </row>
    <row r="22" customFormat="false" ht="42" hidden="false" customHeight="true" outlineLevel="0" collapsed="false">
      <c r="A22" s="48" t="n">
        <f aca="false">'Actions Tracker'!$B$4+16</f>
        <v>46282</v>
      </c>
      <c r="B22" s="31"/>
      <c r="C22" s="31"/>
      <c r="D22" s="31"/>
      <c r="E22" s="31"/>
    </row>
    <row r="23" customFormat="false" ht="42" hidden="false" customHeight="true" outlineLevel="0" collapsed="false">
      <c r="A23" s="48" t="n">
        <f aca="false">'Actions Tracker'!$B$4+17</f>
        <v>46283</v>
      </c>
      <c r="B23" s="31"/>
      <c r="C23" s="31"/>
      <c r="D23" s="31"/>
      <c r="E23" s="31"/>
    </row>
    <row r="24" customFormat="false" ht="42" hidden="false" customHeight="true" outlineLevel="0" collapsed="false">
      <c r="A24" s="48" t="n">
        <f aca="false">'Actions Tracker'!$B$4+18</f>
        <v>46284</v>
      </c>
      <c r="B24" s="31"/>
      <c r="C24" s="31"/>
      <c r="D24" s="31"/>
      <c r="E24" s="31"/>
    </row>
    <row r="25" customFormat="false" ht="42" hidden="false" customHeight="true" outlineLevel="0" collapsed="false">
      <c r="A25" s="48" t="n">
        <f aca="false">'Actions Tracker'!$B$4+19</f>
        <v>46285</v>
      </c>
      <c r="B25" s="31"/>
      <c r="C25" s="31"/>
      <c r="D25" s="31"/>
      <c r="E25" s="31"/>
    </row>
    <row r="26" customFormat="false" ht="42" hidden="false" customHeight="true" outlineLevel="0" collapsed="false">
      <c r="A26" s="48" t="n">
        <f aca="false">'Actions Tracker'!$B$4+20</f>
        <v>46286</v>
      </c>
      <c r="B26" s="31"/>
      <c r="C26" s="31"/>
      <c r="D26" s="31"/>
      <c r="E26" s="31"/>
    </row>
    <row r="27" customFormat="false" ht="42" hidden="false" customHeight="true" outlineLevel="0" collapsed="false">
      <c r="A27" s="48" t="n">
        <f aca="false">'Actions Tracker'!$B$4+21</f>
        <v>46287</v>
      </c>
      <c r="B27" s="31"/>
      <c r="C27" s="31"/>
      <c r="D27" s="31"/>
      <c r="E27" s="31"/>
    </row>
    <row r="28" customFormat="false" ht="42" hidden="false" customHeight="true" outlineLevel="0" collapsed="false">
      <c r="A28" s="48" t="n">
        <f aca="false">'Actions Tracker'!$B$4+22</f>
        <v>46288</v>
      </c>
      <c r="B28" s="31"/>
      <c r="C28" s="31"/>
      <c r="D28" s="31"/>
      <c r="E28" s="31"/>
    </row>
    <row r="29" customFormat="false" ht="42" hidden="false" customHeight="true" outlineLevel="0" collapsed="false">
      <c r="A29" s="48" t="n">
        <f aca="false">'Actions Tracker'!$B$4+23</f>
        <v>46289</v>
      </c>
      <c r="B29" s="31"/>
      <c r="C29" s="31"/>
      <c r="D29" s="31"/>
      <c r="E29" s="31"/>
    </row>
    <row r="30" customFormat="false" ht="42" hidden="false" customHeight="true" outlineLevel="0" collapsed="false">
      <c r="A30" s="48" t="n">
        <f aca="false">'Actions Tracker'!$B$4+24</f>
        <v>46290</v>
      </c>
      <c r="B30" s="31"/>
      <c r="C30" s="31"/>
      <c r="D30" s="31"/>
      <c r="E30" s="31"/>
    </row>
    <row r="31" customFormat="false" ht="42" hidden="false" customHeight="true" outlineLevel="0" collapsed="false">
      <c r="A31" s="48" t="n">
        <f aca="false">'Actions Tracker'!$B$4+25</f>
        <v>46291</v>
      </c>
      <c r="B31" s="31"/>
      <c r="C31" s="31"/>
      <c r="D31" s="31"/>
      <c r="E31" s="31"/>
    </row>
    <row r="32" customFormat="false" ht="42" hidden="false" customHeight="true" outlineLevel="0" collapsed="false">
      <c r="A32" s="48" t="n">
        <f aca="false">'Actions Tracker'!$B$4+26</f>
        <v>46292</v>
      </c>
      <c r="B32" s="31"/>
      <c r="C32" s="31"/>
      <c r="D32" s="31"/>
      <c r="E32" s="31"/>
    </row>
    <row r="33" customFormat="false" ht="42" hidden="false" customHeight="true" outlineLevel="0" collapsed="false">
      <c r="A33" s="48" t="n">
        <f aca="false">'Actions Tracker'!$B$4+27</f>
        <v>46293</v>
      </c>
      <c r="B33" s="31"/>
      <c r="C33" s="31"/>
      <c r="D33" s="31"/>
      <c r="E33" s="31"/>
    </row>
    <row r="34" customFormat="false" ht="42" hidden="false" customHeight="true" outlineLevel="0" collapsed="false">
      <c r="A34" s="48" t="n">
        <f aca="false">'Actions Tracker'!$B$4+28</f>
        <v>46294</v>
      </c>
      <c r="B34" s="31"/>
      <c r="C34" s="31"/>
      <c r="D34" s="31"/>
      <c r="E34" s="31"/>
    </row>
    <row r="35" customFormat="false" ht="42" hidden="false" customHeight="true" outlineLevel="0" collapsed="false">
      <c r="A35" s="48" t="n">
        <f aca="false">'Actions Tracker'!$B$4+29</f>
        <v>46295</v>
      </c>
      <c r="B35" s="31"/>
      <c r="C35" s="31"/>
      <c r="D35" s="31"/>
      <c r="E35" s="31"/>
    </row>
    <row r="36" customFormat="false" ht="42" hidden="false" customHeight="true" outlineLevel="0" collapsed="false">
      <c r="A36" s="48" t="n">
        <f aca="false">'Actions Tracker'!$B$4+30</f>
        <v>46296</v>
      </c>
      <c r="B36" s="31"/>
      <c r="C36" s="31"/>
      <c r="D36" s="31"/>
      <c r="E36" s="31"/>
    </row>
    <row r="37" customFormat="false" ht="42" hidden="false" customHeight="true" outlineLevel="0" collapsed="false">
      <c r="A37" s="48" t="n">
        <f aca="false">'Actions Tracker'!$B$4+31</f>
        <v>46297</v>
      </c>
      <c r="B37" s="31"/>
      <c r="C37" s="31"/>
      <c r="D37" s="31"/>
      <c r="E37" s="31"/>
    </row>
    <row r="38" customFormat="false" ht="42" hidden="false" customHeight="true" outlineLevel="0" collapsed="false">
      <c r="A38" s="48" t="n">
        <f aca="false">'Actions Tracker'!$B$4+32</f>
        <v>46298</v>
      </c>
      <c r="B38" s="31"/>
      <c r="C38" s="31"/>
      <c r="D38" s="31"/>
      <c r="E38" s="31"/>
    </row>
    <row r="39" customFormat="false" ht="42" hidden="false" customHeight="true" outlineLevel="0" collapsed="false">
      <c r="A39" s="48" t="n">
        <f aca="false">'Actions Tracker'!$B$4+33</f>
        <v>46299</v>
      </c>
      <c r="B39" s="31"/>
      <c r="C39" s="31"/>
      <c r="D39" s="31"/>
      <c r="E39" s="31"/>
    </row>
    <row r="40" customFormat="false" ht="42" hidden="false" customHeight="true" outlineLevel="0" collapsed="false">
      <c r="A40" s="48" t="n">
        <f aca="false">'Actions Tracker'!$B$4+34</f>
        <v>46300</v>
      </c>
      <c r="B40" s="31"/>
      <c r="C40" s="31"/>
      <c r="D40" s="31"/>
      <c r="E40" s="31"/>
    </row>
    <row r="41" customFormat="false" ht="42" hidden="false" customHeight="true" outlineLevel="0" collapsed="false">
      <c r="A41" s="48" t="n">
        <f aca="false">'Actions Tracker'!$B$4+35</f>
        <v>46301</v>
      </c>
      <c r="B41" s="31"/>
      <c r="C41" s="31"/>
      <c r="D41" s="31"/>
      <c r="E41" s="31"/>
    </row>
    <row r="42" customFormat="false" ht="42" hidden="false" customHeight="true" outlineLevel="0" collapsed="false">
      <c r="A42" s="48" t="n">
        <f aca="false">'Actions Tracker'!$B$4+36</f>
        <v>46302</v>
      </c>
      <c r="B42" s="31"/>
      <c r="C42" s="31"/>
      <c r="D42" s="31"/>
      <c r="E42" s="31"/>
    </row>
    <row r="43" customFormat="false" ht="42" hidden="false" customHeight="true" outlineLevel="0" collapsed="false">
      <c r="A43" s="48" t="n">
        <f aca="false">'Actions Tracker'!$B$4+37</f>
        <v>46303</v>
      </c>
      <c r="B43" s="31"/>
      <c r="C43" s="31"/>
      <c r="D43" s="31"/>
      <c r="E43" s="31"/>
    </row>
    <row r="44" customFormat="false" ht="42" hidden="false" customHeight="true" outlineLevel="0" collapsed="false">
      <c r="A44" s="48" t="n">
        <f aca="false">'Actions Tracker'!$B$4+38</f>
        <v>46304</v>
      </c>
      <c r="B44" s="31"/>
      <c r="C44" s="31"/>
      <c r="D44" s="31"/>
      <c r="E44" s="31"/>
    </row>
    <row r="45" customFormat="false" ht="42" hidden="false" customHeight="true" outlineLevel="0" collapsed="false">
      <c r="A45" s="48" t="n">
        <f aca="false">'Actions Tracker'!$B$4+39</f>
        <v>46305</v>
      </c>
      <c r="B45" s="31"/>
      <c r="C45" s="31"/>
      <c r="D45" s="31"/>
      <c r="E45" s="31"/>
    </row>
    <row r="46" customFormat="false" ht="42" hidden="false" customHeight="true" outlineLevel="0" collapsed="false">
      <c r="A46" s="48" t="n">
        <f aca="false">'Actions Tracker'!$B$4+40</f>
        <v>46306</v>
      </c>
      <c r="B46" s="31"/>
      <c r="C46" s="31"/>
      <c r="D46" s="31"/>
      <c r="E46" s="31"/>
    </row>
    <row r="47" customFormat="false" ht="42" hidden="false" customHeight="true" outlineLevel="0" collapsed="false">
      <c r="A47" s="48" t="n">
        <f aca="false">'Actions Tracker'!$B$4+41</f>
        <v>46307</v>
      </c>
      <c r="B47" s="31"/>
      <c r="C47" s="31"/>
      <c r="D47" s="31"/>
      <c r="E47" s="31"/>
    </row>
    <row r="48" customFormat="false" ht="42" hidden="false" customHeight="true" outlineLevel="0" collapsed="false">
      <c r="A48" s="48" t="n">
        <f aca="false">'Actions Tracker'!$B$4+42</f>
        <v>46308</v>
      </c>
      <c r="B48" s="31"/>
      <c r="C48" s="31"/>
      <c r="D48" s="31"/>
      <c r="E48" s="31"/>
    </row>
    <row r="49" customFormat="false" ht="42" hidden="false" customHeight="true" outlineLevel="0" collapsed="false">
      <c r="A49" s="48" t="n">
        <f aca="false">'Actions Tracker'!$B$4+43</f>
        <v>46309</v>
      </c>
      <c r="B49" s="31"/>
      <c r="C49" s="31"/>
      <c r="D49" s="31"/>
      <c r="E49" s="31"/>
    </row>
    <row r="50" customFormat="false" ht="42" hidden="false" customHeight="true" outlineLevel="0" collapsed="false">
      <c r="A50" s="48" t="n">
        <f aca="false">'Actions Tracker'!$B$4+44</f>
        <v>46310</v>
      </c>
      <c r="B50" s="31"/>
      <c r="C50" s="31"/>
      <c r="D50" s="31"/>
      <c r="E50" s="31"/>
    </row>
    <row r="51" customFormat="false" ht="42" hidden="false" customHeight="true" outlineLevel="0" collapsed="false">
      <c r="A51" s="48" t="n">
        <f aca="false">'Actions Tracker'!$B$4+45</f>
        <v>46311</v>
      </c>
      <c r="B51" s="31"/>
      <c r="C51" s="31"/>
      <c r="D51" s="31"/>
      <c r="E51" s="31"/>
    </row>
    <row r="52" customFormat="false" ht="42" hidden="false" customHeight="true" outlineLevel="0" collapsed="false">
      <c r="A52" s="48" t="n">
        <f aca="false">'Actions Tracker'!$B$4+46</f>
        <v>46312</v>
      </c>
      <c r="B52" s="31"/>
      <c r="C52" s="31"/>
      <c r="D52" s="31"/>
      <c r="E52" s="31"/>
    </row>
    <row r="53" customFormat="false" ht="42" hidden="false" customHeight="true" outlineLevel="0" collapsed="false">
      <c r="A53" s="48" t="n">
        <f aca="false">'Actions Tracker'!$B$4+47</f>
        <v>46313</v>
      </c>
      <c r="B53" s="31"/>
      <c r="C53" s="31"/>
      <c r="D53" s="31"/>
      <c r="E53" s="31"/>
    </row>
    <row r="54" customFormat="false" ht="42" hidden="false" customHeight="true" outlineLevel="0" collapsed="false">
      <c r="A54" s="48" t="n">
        <f aca="false">'Actions Tracker'!$B$4+48</f>
        <v>46314</v>
      </c>
      <c r="B54" s="31"/>
      <c r="C54" s="31"/>
      <c r="D54" s="31"/>
      <c r="E54" s="31"/>
    </row>
    <row r="55" customFormat="false" ht="42" hidden="false" customHeight="true" outlineLevel="0" collapsed="false">
      <c r="A55" s="48" t="n">
        <f aca="false">'Actions Tracker'!$B$4+49</f>
        <v>46315</v>
      </c>
      <c r="B55" s="31"/>
      <c r="C55" s="31"/>
      <c r="D55" s="31"/>
      <c r="E55" s="31"/>
    </row>
    <row r="56" customFormat="false" ht="42" hidden="false" customHeight="true" outlineLevel="0" collapsed="false">
      <c r="A56" s="48" t="n">
        <f aca="false">'Actions Tracker'!$B$4+50</f>
        <v>46316</v>
      </c>
      <c r="B56" s="31"/>
      <c r="C56" s="31"/>
      <c r="D56" s="31"/>
      <c r="E56" s="31"/>
    </row>
    <row r="57" customFormat="false" ht="42" hidden="false" customHeight="true" outlineLevel="0" collapsed="false">
      <c r="A57" s="48" t="n">
        <f aca="false">'Actions Tracker'!$B$4+51</f>
        <v>46317</v>
      </c>
      <c r="B57" s="31"/>
      <c r="C57" s="31"/>
      <c r="D57" s="31"/>
      <c r="E57" s="31"/>
    </row>
    <row r="58" customFormat="false" ht="42" hidden="false" customHeight="true" outlineLevel="0" collapsed="false">
      <c r="A58" s="48" t="n">
        <f aca="false">'Actions Tracker'!$B$4+52</f>
        <v>46318</v>
      </c>
      <c r="B58" s="31"/>
      <c r="C58" s="31"/>
      <c r="D58" s="31"/>
      <c r="E58" s="31"/>
    </row>
    <row r="59" customFormat="false" ht="42" hidden="false" customHeight="true" outlineLevel="0" collapsed="false">
      <c r="A59" s="48" t="n">
        <f aca="false">'Actions Tracker'!$B$4+53</f>
        <v>46319</v>
      </c>
      <c r="B59" s="31"/>
      <c r="C59" s="31"/>
      <c r="D59" s="31"/>
      <c r="E59" s="31"/>
    </row>
    <row r="60" customFormat="false" ht="42" hidden="false" customHeight="true" outlineLevel="0" collapsed="false">
      <c r="A60" s="48" t="n">
        <f aca="false">'Actions Tracker'!$B$4+54</f>
        <v>46320</v>
      </c>
      <c r="B60" s="31"/>
      <c r="C60" s="31"/>
      <c r="D60" s="31"/>
      <c r="E60" s="31"/>
    </row>
    <row r="61" customFormat="false" ht="42" hidden="false" customHeight="true" outlineLevel="0" collapsed="false">
      <c r="A61" s="48" t="n">
        <f aca="false">'Actions Tracker'!$B$4+55</f>
        <v>46321</v>
      </c>
      <c r="B61" s="31"/>
      <c r="C61" s="31"/>
      <c r="D61" s="31"/>
      <c r="E61" s="31"/>
    </row>
    <row r="62" customFormat="false" ht="42" hidden="false" customHeight="true" outlineLevel="0" collapsed="false">
      <c r="A62" s="48" t="n">
        <f aca="false">'Actions Tracker'!$B$4+56</f>
        <v>46322</v>
      </c>
      <c r="B62" s="31"/>
      <c r="C62" s="31"/>
      <c r="D62" s="31"/>
      <c r="E62" s="31"/>
    </row>
    <row r="63" customFormat="false" ht="42" hidden="false" customHeight="true" outlineLevel="0" collapsed="false">
      <c r="A63" s="48" t="n">
        <f aca="false">'Actions Tracker'!$B$4+57</f>
        <v>46323</v>
      </c>
      <c r="B63" s="31"/>
      <c r="C63" s="31"/>
      <c r="D63" s="31"/>
      <c r="E63" s="31"/>
    </row>
    <row r="64" customFormat="false" ht="42" hidden="false" customHeight="true" outlineLevel="0" collapsed="false">
      <c r="A64" s="48" t="n">
        <f aca="false">'Actions Tracker'!$B$4+58</f>
        <v>46324</v>
      </c>
      <c r="B64" s="31"/>
      <c r="C64" s="31"/>
      <c r="D64" s="31"/>
      <c r="E64" s="31"/>
    </row>
    <row r="65" customFormat="false" ht="42" hidden="false" customHeight="true" outlineLevel="0" collapsed="false">
      <c r="A65" s="48" t="n">
        <f aca="false">'Actions Tracker'!$B$4+59</f>
        <v>46325</v>
      </c>
      <c r="B65" s="31"/>
      <c r="C65" s="31"/>
      <c r="D65" s="31"/>
      <c r="E65" s="31"/>
    </row>
  </sheetData>
  <sheetProtection sheet="true" formatCells="false" formatColumns="false" formatRows="false" insertColumns="false" sort="false"/>
  <autoFilter ref="A5:E65"/>
  <mergeCells count="2">
    <mergeCell ref="A1:E2"/>
    <mergeCell ref="A3:E3"/>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0"/>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0"/>
    <col collapsed="false" customWidth="true" hidden="false" outlineLevel="0" max="3" min="3" style="1" width="18"/>
    <col collapsed="false" customWidth="true" hidden="false" outlineLevel="0" max="4" min="4" style="1" width="20"/>
  </cols>
  <sheetData>
    <row r="1" customFormat="false" ht="30" hidden="false" customHeight="true" outlineLevel="0" collapsed="false">
      <c r="A1" s="27" t="s">
        <v>73</v>
      </c>
      <c r="B1" s="27"/>
      <c r="C1" s="27"/>
      <c r="D1" s="27"/>
    </row>
    <row r="2" customFormat="false" ht="15.75" hidden="false" customHeight="true" outlineLevel="0" collapsed="false">
      <c r="A2" s="27"/>
      <c r="B2" s="27"/>
      <c r="C2" s="27"/>
      <c r="D2" s="27"/>
    </row>
    <row r="3" customFormat="false" ht="21.75" hidden="false" customHeight="true" outlineLevel="0" collapsed="false">
      <c r="A3" s="28" t="s">
        <v>74</v>
      </c>
      <c r="B3" s="28"/>
      <c r="C3" s="28"/>
      <c r="D3" s="28"/>
    </row>
    <row r="5" customFormat="false" ht="30" hidden="false" customHeight="true" outlineLevel="0" collapsed="false">
      <c r="A5" s="29" t="s">
        <v>38</v>
      </c>
      <c r="B5" s="29" t="s">
        <v>44</v>
      </c>
      <c r="C5" s="29" t="s">
        <v>75</v>
      </c>
      <c r="D5" s="29" t="s">
        <v>76</v>
      </c>
    </row>
    <row r="6" customFormat="false" ht="15" hidden="false" customHeight="true" outlineLevel="0" collapsed="false">
      <c r="A6" s="49" t="s">
        <v>77</v>
      </c>
      <c r="B6" s="49" t="s">
        <v>78</v>
      </c>
      <c r="C6" s="49" t="s">
        <v>79</v>
      </c>
      <c r="D6" s="49" t="s">
        <v>80</v>
      </c>
    </row>
    <row r="7" customFormat="false" ht="15" hidden="false" customHeight="true" outlineLevel="0" collapsed="false">
      <c r="A7" s="49" t="s">
        <v>81</v>
      </c>
      <c r="B7" s="49" t="s">
        <v>82</v>
      </c>
      <c r="C7" s="49" t="s">
        <v>83</v>
      </c>
      <c r="D7" s="49" t="s">
        <v>84</v>
      </c>
    </row>
    <row r="8" customFormat="false" ht="15" hidden="false" customHeight="true" outlineLevel="0" collapsed="false">
      <c r="A8" s="49" t="s">
        <v>85</v>
      </c>
      <c r="B8" s="49" t="s">
        <v>86</v>
      </c>
      <c r="C8" s="49" t="s">
        <v>87</v>
      </c>
      <c r="D8" s="49" t="s">
        <v>88</v>
      </c>
    </row>
    <row r="9" customFormat="false" ht="15" hidden="false" customHeight="true" outlineLevel="0" collapsed="false">
      <c r="A9" s="49" t="s">
        <v>89</v>
      </c>
      <c r="B9" s="49" t="s">
        <v>90</v>
      </c>
      <c r="C9" s="50"/>
      <c r="D9" s="50"/>
    </row>
    <row r="10" customFormat="false" ht="15" hidden="false" customHeight="true" outlineLevel="0" collapsed="false">
      <c r="A10" s="49" t="s">
        <v>91</v>
      </c>
      <c r="B10" s="50"/>
      <c r="C10" s="50"/>
      <c r="D10" s="50"/>
    </row>
    <row r="11" customFormat="false" ht="15" hidden="false" customHeight="false" outlineLevel="0" collapsed="false">
      <c r="A11" s="51"/>
      <c r="B11" s="51"/>
      <c r="C11" s="51"/>
      <c r="D11" s="51"/>
    </row>
    <row r="12" customFormat="false" ht="15" hidden="false" customHeight="false" outlineLevel="0" collapsed="false">
      <c r="A12" s="51"/>
      <c r="B12" s="51"/>
      <c r="C12" s="51"/>
      <c r="D12" s="51"/>
    </row>
    <row r="13" customFormat="false" ht="15" hidden="false" customHeight="false" outlineLevel="0" collapsed="false">
      <c r="A13" s="51"/>
      <c r="B13" s="51"/>
      <c r="C13" s="51"/>
      <c r="D13" s="51"/>
    </row>
    <row r="14" customFormat="false" ht="15" hidden="false" customHeight="false" outlineLevel="0" collapsed="false">
      <c r="A14" s="51"/>
      <c r="B14" s="51"/>
      <c r="C14" s="51"/>
      <c r="D14" s="51"/>
    </row>
    <row r="15" customFormat="false" ht="15" hidden="false" customHeight="false" outlineLevel="0" collapsed="false">
      <c r="A15" s="51"/>
      <c r="B15" s="51"/>
      <c r="C15" s="51"/>
      <c r="D15" s="51"/>
    </row>
    <row r="16" customFormat="false" ht="15" hidden="false" customHeight="false" outlineLevel="0" collapsed="false">
      <c r="A16" s="51"/>
      <c r="B16" s="51"/>
      <c r="C16" s="51"/>
      <c r="D16" s="51"/>
    </row>
    <row r="17" customFormat="false" ht="15" hidden="false" customHeight="false" outlineLevel="0" collapsed="false">
      <c r="A17" s="51"/>
      <c r="B17" s="51"/>
      <c r="C17" s="51"/>
      <c r="D17" s="51"/>
    </row>
    <row r="18" customFormat="false" ht="15" hidden="false" customHeight="false" outlineLevel="0" collapsed="false">
      <c r="A18" s="51"/>
      <c r="B18" s="51"/>
      <c r="C18" s="51"/>
      <c r="D18" s="51"/>
    </row>
    <row r="19" customFormat="false" ht="15" hidden="false" customHeight="false" outlineLevel="0" collapsed="false">
      <c r="A19" s="51"/>
      <c r="B19" s="51"/>
      <c r="C19" s="51"/>
      <c r="D19" s="51"/>
    </row>
    <row r="20" customFormat="false" ht="15" hidden="false" customHeight="false" outlineLevel="0" collapsed="false">
      <c r="A20" s="51"/>
      <c r="B20" s="51"/>
      <c r="C20" s="51"/>
      <c r="D20" s="51"/>
    </row>
  </sheetData>
  <sheetProtection sheet="true" formatCells="false" formatColumns="false" formatRows="false" insertColumns="false" sort="false"/>
  <mergeCells count="2">
    <mergeCell ref="A1:D2"/>
    <mergeCell ref="A3:D3"/>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Personal Development Planner</cp:category>
  <dcterms:created xsi:type="dcterms:W3CDTF">2026-09-06T15:03:12Z</dcterms:created>
  <dc:creator>TafaMind</dc:creator>
  <dc:description/>
  <cp:keywords>planner goals habits intention belief action journal</cp:keywords>
  <dc:language>en-US</dc:language>
  <cp:lastModifiedBy>TafaMind</cp:lastModifiedBy>
  <dcterms:modified xsi:type="dcterms:W3CDTF">2026-09-09T16:49:16Z</dcterms:modified>
  <cp:revision>0</cp:revision>
  <dc:subject>Niyyah · Yaqiin · Amal — Intention, Belief &amp; Action Planner</dc:subject>
  <dc:title>TafaMind Planner</dc:title>
</cp:coreProperties>
</file>

<file path=docProps/custom.xml><?xml version="1.0" encoding="utf-8"?>
<Properties xmlns="http://schemas.openxmlformats.org/officeDocument/2006/custom-properties" xmlns:vt="http://schemas.openxmlformats.org/officeDocument/2006/docPropsVTypes"/>
</file>